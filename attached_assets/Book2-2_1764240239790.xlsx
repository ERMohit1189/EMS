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deepkumar/Downloads/"/>
    </mc:Choice>
  </mc:AlternateContent>
  <xr:revisionPtr revIDLastSave="0" documentId="13_ncr:1_{0EE0E7F0-1BB0-8D47-BDC3-B864A2A268F7}" xr6:coauthVersionLast="47" xr6:coauthVersionMax="47" xr10:uidLastSave="{00000000-0000-0000-0000-000000000000}"/>
  <bookViews>
    <workbookView xWindow="0" yWindow="660" windowWidth="29400" windowHeight="18460" xr2:uid="{1E946B4B-0E5F-478C-8776-EE7B79ED62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" l="1"/>
  <c r="L3" i="1"/>
  <c r="H1" i="1"/>
  <c r="D1" i="1"/>
  <c r="M1" i="1"/>
  <c r="N1" i="1" l="1"/>
  <c r="CC1" i="1"/>
  <c r="CB1" i="1"/>
  <c r="CA1" i="1"/>
  <c r="BZ1" i="1"/>
  <c r="BY1" i="1"/>
  <c r="BX1" i="1"/>
  <c r="BW1" i="1"/>
  <c r="BV1" i="1"/>
  <c r="BU1" i="1"/>
  <c r="BT1" i="1"/>
  <c r="BS1" i="1"/>
  <c r="BR1" i="1"/>
  <c r="BQ1" i="1"/>
  <c r="BP1" i="1"/>
  <c r="BO1" i="1"/>
  <c r="BN1" i="1"/>
  <c r="BM1" i="1"/>
  <c r="BL1" i="1"/>
  <c r="BK1" i="1"/>
  <c r="BJ1" i="1"/>
  <c r="BI1" i="1"/>
  <c r="BH1" i="1"/>
  <c r="BG1" i="1"/>
  <c r="BF1" i="1"/>
  <c r="BE1" i="1"/>
  <c r="BD1" i="1"/>
  <c r="BC1" i="1"/>
  <c r="BB1" i="1"/>
  <c r="AZ1" i="1"/>
  <c r="AY1" i="1"/>
  <c r="AW1" i="1"/>
  <c r="AV1" i="1"/>
  <c r="AU1" i="1"/>
  <c r="AT1" i="1"/>
  <c r="AS1" i="1"/>
  <c r="AR1" i="1"/>
  <c r="AQ1" i="1"/>
  <c r="AP1" i="1"/>
  <c r="AO1" i="1"/>
  <c r="AN1" i="1"/>
  <c r="AM1" i="1"/>
  <c r="AL1" i="1"/>
  <c r="AK1" i="1"/>
  <c r="AJ1" i="1"/>
  <c r="AI1" i="1"/>
  <c r="AH1" i="1"/>
  <c r="AG1" i="1"/>
  <c r="AF1" i="1"/>
  <c r="AE1" i="1"/>
  <c r="AD1" i="1"/>
  <c r="AC1" i="1"/>
  <c r="AB1" i="1"/>
  <c r="AA1" i="1"/>
  <c r="Z1" i="1"/>
  <c r="Y1" i="1"/>
  <c r="X1" i="1"/>
  <c r="W1" i="1"/>
  <c r="V1" i="1"/>
  <c r="U1" i="1"/>
  <c r="T1" i="1"/>
  <c r="S1" i="1"/>
  <c r="R1" i="1"/>
  <c r="Q1" i="1"/>
  <c r="O1" i="1"/>
  <c r="L1" i="1"/>
  <c r="K1" i="1"/>
  <c r="J1" i="1"/>
  <c r="I1" i="1"/>
  <c r="G1" i="1"/>
  <c r="F1" i="1"/>
  <c r="E1" i="1"/>
  <c r="C1" i="1"/>
  <c r="B1" i="1"/>
  <c r="A1" i="1"/>
</calcChain>
</file>

<file path=xl/sharedStrings.xml><?xml version="1.0" encoding="utf-8"?>
<sst xmlns="http://schemas.openxmlformats.org/spreadsheetml/2006/main" count="125" uniqueCount="113">
  <si>
    <t>S.No.</t>
  </si>
  <si>
    <t>Circle</t>
  </si>
  <si>
    <t>PLAN ID</t>
  </si>
  <si>
    <t>Nominal Aop</t>
  </si>
  <si>
    <t>HOP TYPE</t>
  </si>
  <si>
    <t>HOP A-B</t>
  </si>
  <si>
    <t>HOP B-A</t>
  </si>
  <si>
    <t>PROJECT</t>
  </si>
  <si>
    <t>SITE A ANT DIA</t>
  </si>
  <si>
    <t>SITE B ANT DIA</t>
  </si>
  <si>
    <t>SITE A NAME</t>
  </si>
  <si>
    <t>TOCO VENDOR A</t>
  </si>
  <si>
    <t>TOCO ID A</t>
  </si>
  <si>
    <t>SITE B NAME</t>
  </si>
  <si>
    <t>TOCO VENDOR B</t>
  </si>
  <si>
    <t>TOCO ID B</t>
  </si>
  <si>
    <t>MEDIA AVAILABILITY STATUS</t>
  </si>
  <si>
    <t>SR NO SITE A</t>
  </si>
  <si>
    <t>SR DATE SITE A</t>
  </si>
  <si>
    <t>SR NO SITE B</t>
  </si>
  <si>
    <t>SR DATE SITE B</t>
  </si>
  <si>
    <t>HOP SR DATE</t>
  </si>
  <si>
    <t>SP DATE SITE A</t>
  </si>
  <si>
    <t>SP DATE SITE B</t>
  </si>
  <si>
    <t>HOP SP DATE</t>
  </si>
  <si>
    <t>SO RELEASED DATE SITE A</t>
  </si>
  <si>
    <t>SO RELEASED DATE SITE B</t>
  </si>
  <si>
    <t>HOP SO DATE</t>
  </si>
  <si>
    <t>RFAI OFFERED DATE SITE A</t>
  </si>
  <si>
    <t>RFAI OFFERED DATE SITE B</t>
  </si>
  <si>
    <t>ACTUAL HOP RFAI OFFERED DATE</t>
  </si>
  <si>
    <t>PARTNER NAME</t>
  </si>
  <si>
    <t>RFAI SURVEY COMPLETION DATE</t>
  </si>
  <si>
    <t>MO NUMBER SITE A</t>
  </si>
  <si>
    <t>MATERIAL TYPE SITE A(SRN, FRESH, FRESH+SRN)</t>
  </si>
  <si>
    <t>MO DATE SITE A</t>
  </si>
  <si>
    <t>MO NUMBER SITE B</t>
  </si>
  <si>
    <t>MATERIAL TYPE SITE B(SRN, FRESH, FRESH+SRN)</t>
  </si>
  <si>
    <t>MO DATE SITE B</t>
  </si>
  <si>
    <t>SRN/RMO NUMBER</t>
  </si>
  <si>
    <t>SRN/RMO DATE</t>
  </si>
  <si>
    <t>HOP MO DATE</t>
  </si>
  <si>
    <t>HOP MATERIAL DISPATCH DATE</t>
  </si>
  <si>
    <t>HOP MATERIAL DELIVERY DATE</t>
  </si>
  <si>
    <t>MATERIAL DELIVERY STATUS</t>
  </si>
  <si>
    <t>SITE A INSTALLATION DATE</t>
  </si>
  <si>
    <t>PTW Number(Site A)</t>
  </si>
  <si>
    <t>SITE B INSTALLATION DATE</t>
  </si>
  <si>
    <t>PTW Number(Site B)</t>
  </si>
  <si>
    <t>HOP I&amp;C DATE</t>
  </si>
  <si>
    <t>Alignment Date</t>
  </si>
  <si>
    <t>HOP Installation Remarks</t>
  </si>
  <si>
    <t>VISIBLE IN NMS</t>
  </si>
  <si>
    <t>NMS VISIBLE DATE</t>
  </si>
  <si>
    <t>SOFT AT OFFER DATE</t>
  </si>
  <si>
    <t>SOFT AT ACCEPTANCE DATE</t>
  </si>
  <si>
    <t>SOFT-AT STATUS</t>
  </si>
  <si>
    <t>PHY-AT OFFER DATE</t>
  </si>
  <si>
    <t>PHY-AT ACCEPTANCE DATE</t>
  </si>
  <si>
    <t>PHY-AT STATUS</t>
  </si>
  <si>
    <t>BOTH AT STATUS</t>
  </si>
  <si>
    <t>PRI ISSUE CATEGORY</t>
  </si>
  <si>
    <t>PRI SITE ID</t>
  </si>
  <si>
    <t>PRI OPEN DATE</t>
  </si>
  <si>
    <t>PRI CLOSE DATE</t>
  </si>
  <si>
    <t>PRI HISTORY</t>
  </si>
  <si>
    <t>RFI Survey Allocation Date</t>
  </si>
  <si>
    <t>Descope</t>
  </si>
  <si>
    <t>Reason of Extra Visit</t>
  </si>
  <si>
    <t>WCC Received 80%</t>
  </si>
  <si>
    <t>WCC Received Date 80%</t>
  </si>
  <si>
    <t>WCC Received 20%</t>
  </si>
  <si>
    <t>WCC Received Date 20%</t>
  </si>
  <si>
    <t>WCC Received Date 100%</t>
  </si>
  <si>
    <t>Survey</t>
  </si>
  <si>
    <t>Final Partner Survey</t>
  </si>
  <si>
    <t>Survey Date</t>
  </si>
  <si>
    <t>District</t>
  </si>
  <si>
    <t>UPE</t>
  </si>
  <si>
    <t>AOP 24-25</t>
  </si>
  <si>
    <t>E-BAND</t>
  </si>
  <si>
    <t>ALB368-ACNT04</t>
  </si>
  <si>
    <t>ACNT04-ALB368</t>
  </si>
  <si>
    <t>Ceragon-Bharti</t>
  </si>
  <si>
    <t>Patrakarcolony</t>
  </si>
  <si>
    <t>Indus</t>
  </si>
  <si>
    <t>IN-1360937</t>
  </si>
  <si>
    <t>TVI</t>
  </si>
  <si>
    <t>ATUPALH1165</t>
  </si>
  <si>
    <t>Received</t>
  </si>
  <si>
    <t>Approved In Inside</t>
  </si>
  <si>
    <t>Site done</t>
  </si>
  <si>
    <t>Yes</t>
  </si>
  <si>
    <t>Accepted</t>
  </si>
  <si>
    <t>-</t>
  </si>
  <si>
    <t>Done</t>
  </si>
  <si>
    <t>Prayagraj</t>
  </si>
  <si>
    <t>ALB45-ALBI06</t>
  </si>
  <si>
    <t>ALBI06-ALB45</t>
  </si>
  <si>
    <t>Darbhanga</t>
  </si>
  <si>
    <t>Infratel</t>
  </si>
  <si>
    <t>UERT11223</t>
  </si>
  <si>
    <t>Space Telecom</t>
  </si>
  <si>
    <t>STIPL-UPE-657</t>
  </si>
  <si>
    <t>LOS Issue/Mail Approval taken for Installation only</t>
  </si>
  <si>
    <t>LOS Issue</t>
  </si>
  <si>
    <t>Max Ant Size</t>
  </si>
  <si>
    <t>Jiya</t>
  </si>
  <si>
    <t>Lagom</t>
  </si>
  <si>
    <t>PTW Status A</t>
  </si>
  <si>
    <t>PTW Status B</t>
  </si>
  <si>
    <t>JIYA</t>
  </si>
  <si>
    <t>LAGOM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</si>
</sst>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 &quot;₹&quot;\ * #,##0.00_ ;_ &quot;₹&quot;\ * \-#,##0.00_ ;_ &quot;₹&quot;\ * &quot;-&quot;??_ ;_ @_ "/>
    <numFmt numFmtId="165" formatCode="_ * #,##0.00_ ;_ * \-#,##0.00_ ;_ * &quot;-&quot;??_ ;_ @_ "/>
    <numFmt numFmtId="166" formatCode="[$-14009]dd/mm/yyyy;@"/>
    <numFmt numFmtId="167" formatCode="mm/dd/yy;@"/>
    <numFmt numFmtId="168" formatCode="[$-409]d/mmm/yy;@"/>
    <numFmt numFmtId="169" formatCode="_-* #,##0\ &quot;£&quot;_-;\-* #,##0\ &quot;£&quot;_-;_-* &quot;-&quot;\ &quot;£&quot;_-;_-@_-"/>
    <numFmt numFmtId="170" formatCode="_ &quot;Rs.&quot;\ * #,##0_ ;_ &quot;Rs.&quot;\ * \-#,##0_ ;_ &quot;Rs.&quot;\ * &quot;-&quot;_ ;_ @_ "/>
  </numFmts>
  <fonts count="3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indexed="8"/>
      <name val="Aptos Narrow"/>
      <family val="2"/>
      <scheme val="minor"/>
    </font>
    <font>
      <sz val="10"/>
      <color theme="1"/>
      <name val="Calibri"/>
      <family val="2"/>
    </font>
    <font>
      <sz val="11"/>
      <name val="Calibri"/>
      <family val="2"/>
    </font>
    <font>
      <sz val="10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0"/>
      <name val="Arial"/>
      <family val="2"/>
    </font>
    <font>
      <b/>
      <sz val="11"/>
      <color theme="0"/>
      <name val="Calibri"/>
      <family val="2"/>
    </font>
    <font>
      <b/>
      <sz val="8"/>
      <name val="Calibri"/>
      <family val="2"/>
    </font>
    <font>
      <sz val="10"/>
      <name val="Calibri"/>
      <family val="2"/>
    </font>
    <font>
      <b/>
      <sz val="10"/>
      <color theme="1"/>
      <name val="Aptos Narrow"/>
      <family val="2"/>
      <scheme val="minor"/>
    </font>
    <font>
      <sz val="11"/>
      <color rgb="FF9C65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</font>
    <font>
      <sz val="12"/>
      <color theme="1"/>
      <name val="Aptos Narrow"/>
      <family val="2"/>
      <scheme val="minor"/>
    </font>
    <font>
      <sz val="11"/>
      <name val="Arial"/>
      <family val="2"/>
    </font>
    <font>
      <sz val="11"/>
      <color indexed="8"/>
      <name val="Calibri"/>
      <family val="2"/>
    </font>
    <font>
      <sz val="12"/>
      <name val="바탕체"/>
      <family val="1"/>
      <charset val="255"/>
    </font>
    <font>
      <sz val="9"/>
      <color theme="1"/>
      <name val="Arial"/>
      <family val="2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4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10486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5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164" fontId="1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1" fillId="0" borderId="0"/>
    <xf numFmtId="0" fontId="24" fillId="0" borderId="0"/>
    <xf numFmtId="0" fontId="24" fillId="0" borderId="0"/>
    <xf numFmtId="0" fontId="29" fillId="4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0" fontId="24" fillId="0" borderId="0" applyNumberFormat="0" applyFill="0" applyBorder="0" applyAlignment="0" applyProtection="0"/>
    <xf numFmtId="0" fontId="24" fillId="0" borderId="0"/>
    <xf numFmtId="169" fontId="33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24" fillId="0" borderId="0"/>
    <xf numFmtId="0" fontId="1" fillId="0" borderId="0"/>
    <xf numFmtId="0" fontId="34" fillId="3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4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0" fontId="24" fillId="0" borderId="0"/>
    <xf numFmtId="0" fontId="35" fillId="0" borderId="0"/>
    <xf numFmtId="165" fontId="1" fillId="0" borderId="0" applyFont="0" applyFill="0" applyBorder="0" applyAlignment="0" applyProtection="0"/>
    <xf numFmtId="0" fontId="24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24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4" fillId="0" borderId="0"/>
    <xf numFmtId="0" fontId="30" fillId="0" borderId="0" applyNumberForma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9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32" fillId="0" borderId="0"/>
    <xf numFmtId="0" fontId="21" fillId="0" borderId="0"/>
  </cellStyleXfs>
  <cellXfs count="22">
    <xf numFmtId="0" fontId="0" fillId="0" borderId="0" xfId="0"/>
    <xf numFmtId="167" fontId="25" fillId="35" borderId="10" xfId="0" applyNumberFormat="1" applyFont="1" applyFill="1" applyBorder="1" applyAlignment="1">
      <alignment horizontal="center" vertical="center"/>
    </xf>
    <xf numFmtId="166" fontId="18" fillId="34" borderId="10" xfId="0" applyNumberFormat="1" applyFont="1" applyFill="1" applyBorder="1" applyAlignment="1">
      <alignment horizontal="center" vertical="center"/>
    </xf>
    <xf numFmtId="166" fontId="18" fillId="33" borderId="10" xfId="0" applyNumberFormat="1" applyFont="1" applyFill="1" applyBorder="1" applyAlignment="1">
      <alignment horizontal="center" vertical="center"/>
    </xf>
    <xf numFmtId="167" fontId="17" fillId="38" borderId="10" xfId="0" applyNumberFormat="1" applyFont="1" applyFill="1" applyBorder="1" applyAlignment="1">
      <alignment horizontal="center" vertical="center"/>
    </xf>
    <xf numFmtId="0" fontId="26" fillId="36" borderId="10" xfId="0" applyFont="1" applyFill="1" applyBorder="1" applyAlignment="1">
      <alignment horizontal="center" vertical="center"/>
    </xf>
    <xf numFmtId="167" fontId="17" fillId="39" borderId="10" xfId="0" applyNumberFormat="1" applyFont="1" applyFill="1" applyBorder="1" applyAlignment="1">
      <alignment horizontal="center" vertical="center"/>
    </xf>
    <xf numFmtId="167" fontId="18" fillId="34" borderId="10" xfId="0" applyNumberFormat="1" applyFont="1" applyFill="1" applyBorder="1" applyAlignment="1">
      <alignment horizontal="center" vertical="center"/>
    </xf>
    <xf numFmtId="167" fontId="18" fillId="33" borderId="10" xfId="0" applyNumberFormat="1" applyFont="1" applyFill="1" applyBorder="1" applyAlignment="1">
      <alignment horizontal="center" vertical="center"/>
    </xf>
    <xf numFmtId="166" fontId="18" fillId="41" borderId="10" xfId="0" applyNumberFormat="1" applyFont="1" applyFill="1" applyBorder="1" applyAlignment="1">
      <alignment horizontal="center" vertical="center"/>
    </xf>
    <xf numFmtId="0" fontId="18" fillId="33" borderId="10" xfId="0" applyFont="1" applyFill="1" applyBorder="1" applyAlignment="1">
      <alignment horizontal="center" vertical="center"/>
    </xf>
    <xf numFmtId="0" fontId="27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 vertical="center"/>
    </xf>
    <xf numFmtId="166" fontId="27" fillId="0" borderId="10" xfId="0" applyNumberFormat="1" applyFont="1" applyBorder="1" applyAlignment="1">
      <alignment horizontal="center" vertical="center"/>
    </xf>
    <xf numFmtId="166" fontId="27" fillId="0" borderId="10" xfId="0" applyNumberFormat="1" applyFont="1" applyBorder="1" applyAlignment="1">
      <alignment horizontal="center"/>
    </xf>
    <xf numFmtId="168" fontId="27" fillId="0" borderId="10" xfId="0" applyNumberFormat="1" applyFont="1" applyBorder="1" applyAlignment="1">
      <alignment horizontal="center"/>
    </xf>
    <xf numFmtId="15" fontId="27" fillId="0" borderId="10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/>
    </xf>
    <xf numFmtId="15" fontId="20" fillId="0" borderId="10" xfId="0" applyNumberFormat="1" applyFont="1" applyBorder="1" applyAlignment="1">
      <alignment horizontal="center"/>
    </xf>
    <xf numFmtId="0" fontId="23" fillId="40" borderId="10" xfId="0" applyFont="1" applyFill="1" applyBorder="1" applyAlignment="1">
      <alignment horizontal="center" vertical="center"/>
    </xf>
    <xf numFmtId="0" fontId="28" fillId="34" borderId="10" xfId="0" applyFont="1" applyFill="1" applyBorder="1" applyAlignment="1">
      <alignment horizontal="center" vertical="center"/>
    </xf>
    <xf numFmtId="0" fontId="36" fillId="42" borderId="10" xfId="0" applyFont="1" applyFill="1" applyBorder="1" applyAlignment="1">
      <alignment horizontal="center" vertical="center"/>
    </xf>
  </cellXfs>
  <cellStyles count="252">
    <cellStyle name=" Task]_x000d__x000a_TaskName=Scan At_x000d__x000a_TaskID=3_x000d__x000a_WorkstationName=SmarTone_x000d__x000a_LastExecuted=0_x000d__x000a_LastSt" xfId="53" xr:uid="{45CD0D7D-EB30-46FC-9AB3-67A5B1B28E86}"/>
    <cellStyle name="=C:\WINNT\SYSTEM32\COMMAND.COM" xfId="37" xr:uid="{C4913161-ED3B-4831-B26C-5C6A07DE4886}"/>
    <cellStyle name="=C:\WINNT\SYSTEM32\COMMAND.COM 2" xfId="52" xr:uid="{07838C3D-FF98-4AC3-BBEE-744DB8B9F425}"/>
    <cellStyle name="=C:\WINNT\SYSTEM32\COMMAND.COM 2 3" xfId="88" xr:uid="{C1F55D19-75F5-435F-B790-EA4A55DF14DB}"/>
    <cellStyle name="0,0_x000d__x000a_NA_x000d__x000a_ 2" xfId="114" xr:uid="{0BEABF99-1593-4B0E-ADC2-ED5348C14342}"/>
    <cellStyle name="20% - Accent1" xfId="18" builtinId="30" customBuiltin="1"/>
    <cellStyle name="20% - Accent2" xfId="21" builtinId="34" customBuiltin="1"/>
    <cellStyle name="20% - Accent3" xfId="24" builtinId="38" customBuiltin="1"/>
    <cellStyle name="20% - Accent4" xfId="27" builtinId="42" customBuiltin="1"/>
    <cellStyle name="20% - Accent5" xfId="30" builtinId="46" customBuiltin="1"/>
    <cellStyle name="20% - Accent6" xfId="33" builtinId="50" customBuiltin="1"/>
    <cellStyle name="40% - Accent1" xfId="19" builtinId="31" customBuiltin="1"/>
    <cellStyle name="40% - Accent1 2" xfId="64" xr:uid="{A1C478A2-D14F-406A-AEB4-3E2CC86914B9}"/>
    <cellStyle name="40% - Accent2" xfId="22" builtinId="35" customBuiltin="1"/>
    <cellStyle name="40% - Accent3" xfId="25" builtinId="39" customBuiltin="1"/>
    <cellStyle name="40% - Accent4" xfId="28" builtinId="43" customBuiltin="1"/>
    <cellStyle name="40% - Accent5" xfId="31" builtinId="47" customBuiltin="1"/>
    <cellStyle name="40% - Accent6" xfId="34" builtinId="51" customBuiltin="1"/>
    <cellStyle name="60% - Accent1 2" xfId="46" xr:uid="{8A4E3FA0-791D-4E18-A5B9-09F4010B2332}"/>
    <cellStyle name="60% - Accent2 2" xfId="47" xr:uid="{F3993A5A-6153-4E3F-9D75-F0509A4DA99D}"/>
    <cellStyle name="60% - Accent3 2" xfId="48" xr:uid="{A26FEAC7-897F-470E-95B9-8AAC68414B68}"/>
    <cellStyle name="60% - Accent4 2" xfId="49" xr:uid="{D642F82E-AF1A-41C7-9FEB-BCE370B64C8B}"/>
    <cellStyle name="60% - Accent5 2" xfId="50" xr:uid="{BFD52FD9-1888-427B-9ACE-23A39847F9D5}"/>
    <cellStyle name="60% - Accent6 2" xfId="51" xr:uid="{694ED718-4EB2-48F8-8D22-BAD573ABB8DF}"/>
    <cellStyle name="Accent1" xfId="17" builtinId="29" customBuiltin="1"/>
    <cellStyle name="Accent2" xfId="20" builtinId="33" customBuiltin="1"/>
    <cellStyle name="Accent3" xfId="23" builtinId="37" customBuiltin="1"/>
    <cellStyle name="Accent4" xfId="26" builtinId="41" customBuiltin="1"/>
    <cellStyle name="Accent5" xfId="29" builtinId="45" customBuiltin="1"/>
    <cellStyle name="Accent6" xfId="32" builtinId="49" customBuiltin="1"/>
    <cellStyle name="Bad" xfId="7" builtinId="27" customBuiltin="1"/>
    <cellStyle name="Calculation" xfId="10" builtinId="22" customBuiltin="1"/>
    <cellStyle name="Check Cell" xfId="12" builtinId="23" customBuiltin="1"/>
    <cellStyle name="Comma 10" xfId="87" xr:uid="{14792E48-17AA-43AC-BEBC-13D6F4F42274}"/>
    <cellStyle name="Comma 10 2" xfId="130" xr:uid="{4CAF6501-194E-4155-830C-C12085B31DC2}"/>
    <cellStyle name="Comma 10 3" xfId="190" xr:uid="{72A51426-CBF9-4E20-8C91-E60B0A48FBA4}"/>
    <cellStyle name="Comma 10 4" xfId="224" xr:uid="{5BB76C5F-430E-4497-889F-D02D9A547289}"/>
    <cellStyle name="Comma 2" xfId="58" xr:uid="{F58FA17C-4377-4214-937D-A0751C857532}"/>
    <cellStyle name="Comma 2 2" xfId="73" xr:uid="{8C400335-6013-4198-8332-A17B14CAA964}"/>
    <cellStyle name="Comma 2 3" xfId="72" xr:uid="{AC77DF70-9F5C-4DD9-8022-4855A0CE18B9}"/>
    <cellStyle name="Comma 2 3 2" xfId="81" xr:uid="{255660EC-2F85-4453-AD3B-7817A48BAF9F}"/>
    <cellStyle name="Comma 2 3 2 2" xfId="109" xr:uid="{71383E85-7EFF-49D6-B2D9-3FC2ECBFA813}"/>
    <cellStyle name="Comma 2 3 2 2 2" xfId="150" xr:uid="{3E4412BE-9447-4B0E-88C0-A14D617CE45B}"/>
    <cellStyle name="Comma 2 3 2 2 3" xfId="210" xr:uid="{275DD2AB-9309-4CAC-BB62-5BA517A2901B}"/>
    <cellStyle name="Comma 2 3 2 2 4" xfId="244" xr:uid="{433E7689-3500-4CC2-B801-88F1F21A214C}"/>
    <cellStyle name="Comma 2 3 2 3" xfId="97" xr:uid="{59E63F30-C7AD-4BC5-AAE6-B67C59C564DA}"/>
    <cellStyle name="Comma 2 3 2 3 2" xfId="138" xr:uid="{2D36B15D-C875-4E72-AEE4-E44927C8B96D}"/>
    <cellStyle name="Comma 2 3 2 3 3" xfId="198" xr:uid="{45CF7A06-9332-49EE-AD21-A04D5CC636DF}"/>
    <cellStyle name="Comma 2 3 2 3 4" xfId="232" xr:uid="{CFE7EAFF-6E2D-46EE-AB4C-C5385B4979B7}"/>
    <cellStyle name="Comma 2 3 2 4" xfId="128" xr:uid="{EED5A731-C24F-4754-9ABD-74BFB4F5D38E}"/>
    <cellStyle name="Comma 2 3 2 5" xfId="188" xr:uid="{FDAF1912-B702-4F98-A803-4FD4209BC44E}"/>
    <cellStyle name="Comma 2 3 2 6" xfId="222" xr:uid="{E7E386D9-0BCE-44EF-A015-CD4A2B1ED62D}"/>
    <cellStyle name="Comma 2 3 3" xfId="101" xr:uid="{9BCE41A2-5531-471E-B691-9BFB5EE3864B}"/>
    <cellStyle name="Comma 2 3 3 2" xfId="142" xr:uid="{FEACE5A4-D766-45DB-A8C7-5BFE3598210D}"/>
    <cellStyle name="Comma 2 3 3 3" xfId="202" xr:uid="{5FD68F65-CDDC-45E8-B7EC-4F70ABF271CD}"/>
    <cellStyle name="Comma 2 3 3 4" xfId="236" xr:uid="{CCCCBDCC-7D52-4262-863A-6ADB5DE29877}"/>
    <cellStyle name="Comma 2 3 4" xfId="93" xr:uid="{A7DC6019-C62B-42E7-A87A-B68ACD557310}"/>
    <cellStyle name="Comma 2 3 4 2" xfId="134" xr:uid="{2759DB41-D6ED-4FC3-8B51-4B4CA3AA52E9}"/>
    <cellStyle name="Comma 2 3 4 3" xfId="194" xr:uid="{205C9E28-276B-47A8-8528-97E9C466EBB1}"/>
    <cellStyle name="Comma 2 3 4 4" xfId="228" xr:uid="{861AC935-15D3-496B-B4A9-D2DAB6FD4862}"/>
    <cellStyle name="Comma 2 3 5" xfId="120" xr:uid="{7FCC0B19-0F4D-4C57-8CA8-1DDDC456F573}"/>
    <cellStyle name="Comma 2 3 6" xfId="180" xr:uid="{D75FC40C-E296-4B9D-9DAA-E7A808EA093C}"/>
    <cellStyle name="Comma 2 3 7" xfId="214" xr:uid="{02377EE9-8109-472C-AF87-F2500C9BBB71}"/>
    <cellStyle name="Comma 3" xfId="59" xr:uid="{EA58CE21-3C7A-4C62-8FD7-E6864D16596E}"/>
    <cellStyle name="Comma 3 2" xfId="89" xr:uid="{4D67FA0A-9E26-4151-8DC1-864468DB2A9E}"/>
    <cellStyle name="Comma 3 2 2" xfId="131" xr:uid="{CC5DB036-2999-4C10-93F2-7F00089C4698}"/>
    <cellStyle name="Comma 3 2 3" xfId="191" xr:uid="{A0EE80DB-ECDD-4B57-8B36-FA507526E94F}"/>
    <cellStyle name="Comma 3 2 4" xfId="225" xr:uid="{955B4723-1BE9-4256-A526-D8C1B0C459E8}"/>
    <cellStyle name="Comma 4" xfId="60" xr:uid="{45F2E40E-F71D-476A-BAB4-26E61DA03B87}"/>
    <cellStyle name="Comma 4 2" xfId="61" xr:uid="{1D9411C5-E874-4FC1-8348-D376B63A2452}"/>
    <cellStyle name="Comma 5" xfId="74" xr:uid="{C9B7E40A-E436-4443-82A9-86A314A5CE83}"/>
    <cellStyle name="Comma 5 2" xfId="78" xr:uid="{4183EA88-E686-4C52-BEF7-5B2CC57CAF90}"/>
    <cellStyle name="Comma 5 2 2" xfId="106" xr:uid="{C2CC367D-EBA9-4443-B8F7-944E835C416B}"/>
    <cellStyle name="Comma 5 2 2 2" xfId="147" xr:uid="{DEFD2F15-E7A4-498A-9F9D-BBE8964026D5}"/>
    <cellStyle name="Comma 5 2 2 3" xfId="207" xr:uid="{67BA7C3D-82A5-476C-8BD4-8128F444B0E6}"/>
    <cellStyle name="Comma 5 2 2 4" xfId="241" xr:uid="{20FE2BF1-38DD-495D-8792-840BBB4766F2}"/>
    <cellStyle name="Comma 5 2 3" xfId="94" xr:uid="{E033687B-7F60-4539-9232-DC33FC9F7CD2}"/>
    <cellStyle name="Comma 5 2 3 2" xfId="135" xr:uid="{47BBD19E-096F-4B41-A688-672B24D34801}"/>
    <cellStyle name="Comma 5 2 3 3" xfId="195" xr:uid="{1F8D69AC-D04E-46A7-98C9-38FDC87BB640}"/>
    <cellStyle name="Comma 5 2 3 4" xfId="229" xr:uid="{76FC13D3-4F4D-4D47-AE00-C077B9F71032}"/>
    <cellStyle name="Comma 5 2 4" xfId="125" xr:uid="{B605CE83-0DED-4EB8-9AAB-C3397C30091C}"/>
    <cellStyle name="Comma 5 2 5" xfId="185" xr:uid="{9816E45A-7BF6-4B3F-834D-C126ECCEA845}"/>
    <cellStyle name="Comma 5 2 6" xfId="219" xr:uid="{25BF2B92-4937-418B-87D3-DF7120EFB893}"/>
    <cellStyle name="Comma 5 3" xfId="82" xr:uid="{CED82799-BA37-49A0-90D4-24CC40E303E2}"/>
    <cellStyle name="Comma 5 3 2" xfId="110" xr:uid="{17C72FFA-5534-4658-B524-A6B61C43B73B}"/>
    <cellStyle name="Comma 5 3 2 2" xfId="151" xr:uid="{CF716E47-3F6B-497D-9E66-7E9253DE04F7}"/>
    <cellStyle name="Comma 5 3 2 3" xfId="211" xr:uid="{BB316002-066C-4186-A539-C3F8370A6ACD}"/>
    <cellStyle name="Comma 5 3 2 4" xfId="245" xr:uid="{F208BA3E-B6D8-4A25-904C-2F79C40177BA}"/>
    <cellStyle name="Comma 5 3 3" xfId="98" xr:uid="{994600C6-6341-4A38-9029-9EEAF06A1F33}"/>
    <cellStyle name="Comma 5 3 3 2" xfId="139" xr:uid="{098CE8FC-FF0D-49B7-A890-7661025D0A95}"/>
    <cellStyle name="Comma 5 3 3 3" xfId="199" xr:uid="{2D29545D-0D83-4F3B-A747-446715B0A462}"/>
    <cellStyle name="Comma 5 3 3 4" xfId="233" xr:uid="{6A2C16A5-4466-46AE-91C9-098101C644C3}"/>
    <cellStyle name="Comma 5 3 4" xfId="129" xr:uid="{05AE862D-EEA0-4D0D-AB6A-5709735C2F1C}"/>
    <cellStyle name="Comma 5 3 5" xfId="189" xr:uid="{6A6358AE-0A5C-47C8-854D-12F587825D94}"/>
    <cellStyle name="Comma 5 3 6" xfId="223" xr:uid="{DFEDC900-DA53-40DE-B5CC-29A5B65904A7}"/>
    <cellStyle name="Comma 5 4" xfId="76" xr:uid="{95D4F90F-5CFB-4D90-A450-C69756CDB5D6}"/>
    <cellStyle name="Comma 5 4 2" xfId="104" xr:uid="{8A40AB84-A599-41C5-95B3-ECF83D75664F}"/>
    <cellStyle name="Comma 5 4 2 2" xfId="145" xr:uid="{7D3716E1-E895-4432-A22E-06F4D8B77796}"/>
    <cellStyle name="Comma 5 4 2 3" xfId="205" xr:uid="{55BC864C-8D3A-468A-9A96-995EEBE365B6}"/>
    <cellStyle name="Comma 5 4 2 4" xfId="239" xr:uid="{CA1CDB81-E59C-40E2-9BA5-BF577B16671B}"/>
    <cellStyle name="Comma 5 4 3" xfId="123" xr:uid="{2C0753B5-DD7E-45E5-B6AB-249FB9B5333B}"/>
    <cellStyle name="Comma 5 4 4" xfId="183" xr:uid="{64816D30-40A0-44EE-8D0E-33BF3F8451CC}"/>
    <cellStyle name="Comma 5 4 5" xfId="217" xr:uid="{6447AC01-1944-40E0-B1A9-3C8ACBB5E978}"/>
    <cellStyle name="Comma 5 5" xfId="102" xr:uid="{EBA1275D-EC09-4A52-813F-69E16A12CE1D}"/>
    <cellStyle name="Comma 5 5 2" xfId="143" xr:uid="{2DCDCEF0-7575-446B-9082-16636440ECFA}"/>
    <cellStyle name="Comma 5 5 3" xfId="203" xr:uid="{9ECF6DED-5775-4942-9015-F776E18BB0D9}"/>
    <cellStyle name="Comma 5 5 4" xfId="237" xr:uid="{B1FF5C19-D7F1-4765-AA9F-266D59C8ABDE}"/>
    <cellStyle name="Comma 5 6" xfId="84" xr:uid="{286B2493-557D-45BE-B696-DFAB1871E79D}"/>
    <cellStyle name="Comma 5 7" xfId="121" xr:uid="{B3557CD9-EEF9-4810-AB17-78EE93D58945}"/>
    <cellStyle name="Comma 5 8" xfId="181" xr:uid="{E6844105-6623-45FC-B782-9CC667D2674E}"/>
    <cellStyle name="Comma 5 9" xfId="215" xr:uid="{3112D8E5-4A2E-4329-A74A-10D41E6B040B}"/>
    <cellStyle name="Comma 6" xfId="71" xr:uid="{E3F450B7-1E19-47D8-AFCA-5E6E36A81CB0}"/>
    <cellStyle name="Comma 6 2" xfId="80" xr:uid="{095F3DF1-0F14-41E7-8B83-404684950A53}"/>
    <cellStyle name="Comma 6 2 2" xfId="108" xr:uid="{176E364B-AA5C-4E46-B54A-F5104AD140E8}"/>
    <cellStyle name="Comma 6 2 2 2" xfId="149" xr:uid="{64DA7135-E706-4052-8480-337D25A0636A}"/>
    <cellStyle name="Comma 6 2 2 3" xfId="209" xr:uid="{EE772238-8616-4041-9B92-E93AED429106}"/>
    <cellStyle name="Comma 6 2 2 4" xfId="243" xr:uid="{3B91C466-0E07-42DF-9690-D20DA4EB550C}"/>
    <cellStyle name="Comma 6 2 3" xfId="96" xr:uid="{1C11E0B4-E040-44AD-8536-1446CA49236A}"/>
    <cellStyle name="Comma 6 2 3 2" xfId="137" xr:uid="{F0835E56-4923-42A4-88D2-0DE45974DA81}"/>
    <cellStyle name="Comma 6 2 3 3" xfId="197" xr:uid="{91504C06-F986-48F3-8A8A-2E0CCDE3F0A6}"/>
    <cellStyle name="Comma 6 2 3 4" xfId="231" xr:uid="{9FDD882D-8939-4FBA-9824-C6BCEA5D4DD6}"/>
    <cellStyle name="Comma 6 2 4" xfId="127" xr:uid="{41756B4E-FE4B-4A2F-B33C-F53A2BFEDE6D}"/>
    <cellStyle name="Comma 6 2 5" xfId="187" xr:uid="{404846CB-4424-42BF-A7DD-924939C45FE4}"/>
    <cellStyle name="Comma 6 2 6" xfId="221" xr:uid="{8DD9AB25-1BC8-4749-BEFA-C9202B3894EF}"/>
    <cellStyle name="Comma 6 3" xfId="77" xr:uid="{5051C8B6-20E8-4207-BA81-0D83F8794F8B}"/>
    <cellStyle name="Comma 6 3 2" xfId="105" xr:uid="{53CABF0B-B243-483E-8B9E-71A3E7AE35E6}"/>
    <cellStyle name="Comma 6 3 2 2" xfId="146" xr:uid="{F85DD22E-605B-4C0C-8411-413171FA44DB}"/>
    <cellStyle name="Comma 6 3 2 3" xfId="206" xr:uid="{E3D81A1D-3607-444C-9AA5-ECFC28A61B31}"/>
    <cellStyle name="Comma 6 3 2 4" xfId="240" xr:uid="{3B65FD3C-6D60-424D-AEB2-C8DDDCDE5D71}"/>
    <cellStyle name="Comma 6 3 3" xfId="124" xr:uid="{1482B51C-45B4-4D15-BDE2-223D415A374A}"/>
    <cellStyle name="Comma 6 3 4" xfId="184" xr:uid="{A089E801-6360-4142-B316-316A8123E191}"/>
    <cellStyle name="Comma 6 3 5" xfId="218" xr:uid="{CBF27EA0-90A3-4E8E-8BE6-8EA2C2562801}"/>
    <cellStyle name="Comma 6 4" xfId="100" xr:uid="{F4E032E6-432A-4D8C-9800-0043E0A7B23E}"/>
    <cellStyle name="Comma 6 4 2" xfId="141" xr:uid="{95C86565-5590-4F83-B7C1-DD28025BC3DD}"/>
    <cellStyle name="Comma 6 4 3" xfId="201" xr:uid="{9878AF6C-6A41-4E04-9B6B-1FE034156936}"/>
    <cellStyle name="Comma 6 4 4" xfId="235" xr:uid="{8E00D2A1-9877-4CE5-B1E9-AB39B312764A}"/>
    <cellStyle name="Comma 6 5" xfId="92" xr:uid="{C9E14F7C-1E66-491D-B97A-F95EF68AF13B}"/>
    <cellStyle name="Comma 6 5 2" xfId="133" xr:uid="{08F53F72-C91E-4511-9AA5-88983B808B7B}"/>
    <cellStyle name="Comma 6 5 3" xfId="193" xr:uid="{6B9CC3E2-5B0B-40BC-921C-079126E44C81}"/>
    <cellStyle name="Comma 6 5 4" xfId="227" xr:uid="{46F52563-4FB4-4BEB-9F92-0C3038BF0D7D}"/>
    <cellStyle name="Comma 6 6" xfId="119" xr:uid="{AD89A03E-3346-4BA9-89AC-BCB5DD2B1FE8}"/>
    <cellStyle name="Comma 6 7" xfId="179" xr:uid="{6FC7D320-5D3C-4FDC-98E2-CD07D92A07CD}"/>
    <cellStyle name="Comma 6 8" xfId="213" xr:uid="{28A4106F-6400-42AE-AB14-B1A838FD734C}"/>
    <cellStyle name="Comma 7" xfId="79" xr:uid="{BFF33BDE-EE39-4516-B5EC-41E3196AFE36}"/>
    <cellStyle name="Comma 7 2" xfId="95" xr:uid="{8605B20B-2E66-4D79-A2FB-270739BD895F}"/>
    <cellStyle name="Comma 7 2 2" xfId="136" xr:uid="{1E267C65-5EC8-429E-8299-3D1EFDA08723}"/>
    <cellStyle name="Comma 7 2 3" xfId="196" xr:uid="{7AFC091C-8547-49DA-AE09-44D876599277}"/>
    <cellStyle name="Comma 7 2 4" xfId="230" xr:uid="{81EF9CBE-0C99-4E04-AC32-3C34FBA103FA}"/>
    <cellStyle name="Comma 7 3" xfId="107" xr:uid="{30BD97B8-498E-4C76-90D0-7BAA1122572C}"/>
    <cellStyle name="Comma 7 3 2" xfId="148" xr:uid="{B0C5776B-A341-4AD8-86DC-A56E3D89A22B}"/>
    <cellStyle name="Comma 7 3 3" xfId="208" xr:uid="{02CF7C43-20F1-49AD-B3F2-6625BE25E8FB}"/>
    <cellStyle name="Comma 7 3 4" xfId="242" xr:uid="{776DA322-EE33-4D7E-84B3-982C129F2EAC}"/>
    <cellStyle name="Comma 7 4" xfId="91" xr:uid="{B7FFB564-B38A-4A4A-B46A-A02BBD8C6D54}"/>
    <cellStyle name="Comma 7 4 2" xfId="132" xr:uid="{640EB59A-3921-43D3-8D77-AA7B4CAC2145}"/>
    <cellStyle name="Comma 7 4 3" xfId="192" xr:uid="{FB3D7EE4-4879-46A4-8AE8-13BC14FAB2EC}"/>
    <cellStyle name="Comma 7 4 4" xfId="226" xr:uid="{84646060-415C-4913-9C76-53533F8DC21A}"/>
    <cellStyle name="Comma 7 5" xfId="126" xr:uid="{B7DEB5B7-3885-42F6-9582-0A8E867C5BBC}"/>
    <cellStyle name="Comma 7 6" xfId="186" xr:uid="{3584EC0A-2E75-4AC2-B9AC-4E2C14C2B5C2}"/>
    <cellStyle name="Comma 7 7" xfId="220" xr:uid="{0A0B1AA2-83CB-42E4-9EF9-031931A2EE2F}"/>
    <cellStyle name="Comma 8" xfId="75" xr:uid="{7E2EF9AB-D5F4-47DB-AC0F-E311489763F8}"/>
    <cellStyle name="Comma 8 2" xfId="103" xr:uid="{6198FF4C-9316-4952-A245-1A3DD2C07ECA}"/>
    <cellStyle name="Comma 8 2 2" xfId="144" xr:uid="{5ACC20F3-AD1A-4B5E-980D-BCA60F1BFFE2}"/>
    <cellStyle name="Comma 8 2 3" xfId="204" xr:uid="{BB4A1DBE-DB09-43E5-9269-3855BE2661B0}"/>
    <cellStyle name="Comma 8 2 4" xfId="238" xr:uid="{954479DD-BF57-45AF-B701-CD070FE1FBAC}"/>
    <cellStyle name="Comma 8 3" xfId="122" xr:uid="{1EE40E7E-E452-4433-B04D-F3C6CDB9D454}"/>
    <cellStyle name="Comma 8 4" xfId="182" xr:uid="{B1B4AA82-2CB8-4007-A2CE-6D216E8E56C4}"/>
    <cellStyle name="Comma 8 5" xfId="216" xr:uid="{DBE32F4B-6EDC-493D-B009-A626A8F7F957}"/>
    <cellStyle name="Comma 9" xfId="99" xr:uid="{A400A56E-3519-4483-8535-D4DDAC2299E8}"/>
    <cellStyle name="Comma 9 2" xfId="140" xr:uid="{40995943-FE47-4723-A0F1-6646528C013B}"/>
    <cellStyle name="Comma 9 3" xfId="200" xr:uid="{0702B178-BB30-41B7-8C47-D16326F20627}"/>
    <cellStyle name="Comma 9 4" xfId="234" xr:uid="{0001B57F-299C-4F43-B908-CD3E81B47785}"/>
    <cellStyle name="Currency [0] 2" xfId="54" xr:uid="{A5FF19D0-BDB9-4A42-8C0C-42E13EFE4D16}"/>
    <cellStyle name="Currency [0] 3" xfId="55" xr:uid="{170577A2-61EC-468B-8001-3E57A5965E5F}"/>
    <cellStyle name="Currency 2" xfId="39" xr:uid="{C71BB8CA-8297-45CF-BF10-EA40233EDDAB}"/>
    <cellStyle name="Currency 3" xfId="36" xr:uid="{3A07B736-C70D-44C6-AD9A-E2D7A0F8998C}"/>
    <cellStyle name="Currency 4" xfId="41" xr:uid="{482215D7-DC39-4EF6-A79E-86FD44E70E57}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 3" xfId="112" xr:uid="{36105152-A4B7-44F0-9A17-0E6FC6CB9727}"/>
    <cellStyle name="Input" xfId="8" builtinId="20" customBuiltin="1"/>
    <cellStyle name="Legal 8½ x 14 in 2" xfId="85" xr:uid="{6DF2DDE4-0D00-4661-BB13-B12EFE04FF53}"/>
    <cellStyle name="Linked Cell" xfId="11" builtinId="24" customBuiltin="1"/>
    <cellStyle name="Neutral 2" xfId="45" xr:uid="{A3EE2E33-3A78-40AD-A1EA-60E798A95D9E}"/>
    <cellStyle name="Normal" xfId="0" builtinId="0"/>
    <cellStyle name="Normal - Style1 2 2 2 2 2 2 2 2 2 2 2 2 2 3 2 3" xfId="111" xr:uid="{E779ABD8-C724-413B-B10D-679967127A0D}"/>
    <cellStyle name="Normal 145" xfId="153" xr:uid="{4350A37C-F542-4D9F-912A-25AB624ACA0C}"/>
    <cellStyle name="Normal 152" xfId="154" xr:uid="{47E0C425-62AD-4639-BBC6-3C1A8721F18A}"/>
    <cellStyle name="Normal 156" xfId="155" xr:uid="{FDE3DB84-1E01-481D-8D2D-85E90A79623D}"/>
    <cellStyle name="Normal 161" xfId="152" xr:uid="{3E7398FE-8280-4E15-97C9-8E74A8EDB824}"/>
    <cellStyle name="Normal 165" xfId="165" xr:uid="{EBCB26BD-56D7-4835-81BD-F8237187A4EF}"/>
    <cellStyle name="Normal 168" xfId="158" xr:uid="{A3D5F594-BBA1-4D1B-A7FB-9A56FDD84C45}"/>
    <cellStyle name="Normal 169" xfId="160" xr:uid="{632601AC-3668-4A2C-866D-27FBB15A0A1F}"/>
    <cellStyle name="Normal 170" xfId="156" xr:uid="{53E8D6DD-67C8-41E0-8592-61A3DE21E660}"/>
    <cellStyle name="Normal 171" xfId="162" xr:uid="{01FA0D5E-08F2-47C3-A53A-533706DAE24F}"/>
    <cellStyle name="Normal 172" xfId="157" xr:uid="{978ECAF8-73FD-4369-B8A7-EF1C8E39822B}"/>
    <cellStyle name="Normal 174" xfId="163" xr:uid="{2F02EBB6-802E-434E-ABCA-4E0DEE0063C4}"/>
    <cellStyle name="Normal 175" xfId="164" xr:uid="{F4F10ED9-8398-4A7A-8F2D-B72F015E79C4}"/>
    <cellStyle name="Normal 176" xfId="161" xr:uid="{95BC4522-BECE-42AC-B6A8-6AA570233C18}"/>
    <cellStyle name="Normal 177" xfId="159" xr:uid="{755031E8-AC4E-4259-A600-24062B9B7A9E}"/>
    <cellStyle name="Normal 178" xfId="166" xr:uid="{B9558E90-85A1-4AB5-AA2F-9B17C36AAF42}"/>
    <cellStyle name="Normal 183" xfId="167" xr:uid="{A1F32D03-0ED2-4AE6-A6AE-B02427925366}"/>
    <cellStyle name="Normal 187" xfId="168" xr:uid="{D6F808B3-E88A-4BF2-A7E7-EC1ABFF3003D}"/>
    <cellStyle name="Normal 191" xfId="248" xr:uid="{37474ED9-B669-4EA3-9452-FEA248D93975}"/>
    <cellStyle name="Normal 194" xfId="169" xr:uid="{87AC444F-4FF1-40CF-9CE4-225CA34318DF}"/>
    <cellStyle name="Normal 196" xfId="170" xr:uid="{34ACAB62-112F-4ED3-BB08-3CA982CB5C6F}"/>
    <cellStyle name="Normal 2" xfId="35" xr:uid="{4FC583A6-7F14-42C2-BDD4-1C0E7FF20704}"/>
    <cellStyle name="Normal 2 2" xfId="90" xr:uid="{4ACA713F-FB6E-4B90-8993-148B3286F02C}"/>
    <cellStyle name="Normal 2 2 2" xfId="118" xr:uid="{7A5046E8-5C8F-4581-B475-52E49457497F}"/>
    <cellStyle name="Normal 2 3" xfId="250" xr:uid="{9A84F125-79E0-4A2E-943E-C7C5CCE6C64A}"/>
    <cellStyle name="Normal 2 4" xfId="83" xr:uid="{F4AB7DB1-8624-4F03-A59E-41588867E0D6}"/>
    <cellStyle name="Normal 2 8" xfId="44" xr:uid="{6B64F659-2279-4978-B0FB-8A386B36E830}"/>
    <cellStyle name="Normal 203" xfId="171" xr:uid="{E4C95276-496C-46C4-BAF6-64111A5BC06A}"/>
    <cellStyle name="Normal 206" xfId="172" xr:uid="{C006039D-5DAC-41E2-B442-8B17B0E9BBFF}"/>
    <cellStyle name="Normal 209" xfId="173" xr:uid="{F33B7315-F738-40E2-BB6D-91EA731611D8}"/>
    <cellStyle name="Normal 211" xfId="174" xr:uid="{D242FE92-DAD8-4538-8D6F-34903FAA2A9A}"/>
    <cellStyle name="Normal 213" xfId="175" xr:uid="{9F0B6157-54D1-46F4-9535-D2EF9430F427}"/>
    <cellStyle name="Normal 215" xfId="176" xr:uid="{F4E7CA66-3F09-4E6F-84B7-F4FB83A586DC}"/>
    <cellStyle name="Normal 216" xfId="177" xr:uid="{A000F268-3E86-4F44-8F23-03F07D9D9DF1}"/>
    <cellStyle name="Normal 221" xfId="178" xr:uid="{BF95AAB7-4678-4453-A613-7FA5BAE1ED15}"/>
    <cellStyle name="Normal 28 2 2" xfId="67" xr:uid="{E322D5AF-33E4-4087-BEAF-C83D1EDBA3CA}"/>
    <cellStyle name="Normal 28 3" xfId="62" xr:uid="{D5252F92-2D2C-48F4-85E0-B16CD492F600}"/>
    <cellStyle name="Normal 3" xfId="38" xr:uid="{E6C4D33E-DB80-4455-BE8E-ACFA535127AE}"/>
    <cellStyle name="Normal 3 2" xfId="115" xr:uid="{267200CE-DC57-41E7-8BE9-AADCFA685441}"/>
    <cellStyle name="Normal 3 2 29" xfId="117" xr:uid="{9DCF5F75-AD8A-4C1C-85C3-8A109AB6645B}"/>
    <cellStyle name="Normal 3 3" xfId="251" xr:uid="{300DA7A7-90DA-45FA-AA6B-5B0A88EB20F8}"/>
    <cellStyle name="Normal 3 4" xfId="113" xr:uid="{44B04C69-3E2E-478D-B3C3-32CC66754A9C}"/>
    <cellStyle name="Normal 4" xfId="212" xr:uid="{6704D6F9-6673-40B2-B51D-DC05569C1670}"/>
    <cellStyle name="Normal 46 2 2" xfId="43" xr:uid="{45054B2A-272D-4EEF-9686-78A15D69ED55}"/>
    <cellStyle name="Normal 46 3" xfId="70" xr:uid="{CEA0678A-3A20-4459-9A00-491E0ED1B0B0}"/>
    <cellStyle name="Normal 5" xfId="57" xr:uid="{A9D4ED52-3EF4-4D56-A722-803D754BE5E6}"/>
    <cellStyle name="Normal 6" xfId="246" xr:uid="{FD6BA50E-125A-40F7-B620-7394B59B3AEE}"/>
    <cellStyle name="Normal 6 2" xfId="63" xr:uid="{A034DB02-628B-4F5B-B123-C37AD805B0CA}"/>
    <cellStyle name="Normal 6 2 2" xfId="65" xr:uid="{EB0C9B9F-5B70-4CB1-9A69-BA3A7E41635D}"/>
    <cellStyle name="Normal 6 3" xfId="56" xr:uid="{82DC9B4B-7405-41B7-9335-8B8C69F59650}"/>
    <cellStyle name="Normal 7" xfId="247" xr:uid="{E7877E6F-F992-45A9-9728-83977EB3EEA0}"/>
    <cellStyle name="Normal 76" xfId="66" xr:uid="{D43B52A3-C73E-4622-B117-FF613D7DC2AD}"/>
    <cellStyle name="Normal 8" xfId="249" xr:uid="{42D50AF4-C429-4015-BD39-9015CB98D5FE}"/>
    <cellStyle name="Normal 84" xfId="42" xr:uid="{062F7528-E951-493D-9C65-EA7C642BE5E1}"/>
    <cellStyle name="Normal 9" xfId="116" xr:uid="{25CBEEB5-FE76-4989-B3C0-5AD2B111C8CE}"/>
    <cellStyle name="Note" xfId="14" builtinId="10" customBuiltin="1"/>
    <cellStyle name="Output" xfId="9" builtinId="21" customBuiltin="1"/>
    <cellStyle name="Percent 2" xfId="40" xr:uid="{43A71DE2-20D2-4754-9AB2-F157DEC56E75}"/>
    <cellStyle name="Percent 3 2" xfId="69" xr:uid="{3A98B610-7285-4327-AE0E-74B37216FDD5}"/>
    <cellStyle name="Percent 5" xfId="68" xr:uid="{F036B0D5-6A58-4533-B651-EEA5381C4110}"/>
    <cellStyle name="Style 1" xfId="86" xr:uid="{94553A65-97FB-449F-A191-66EA0888A62E}"/>
    <cellStyle name="Title" xfId="1" builtinId="15" customBuiltin="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40CF0-098A-4376-B5F2-515C75E6E6B8}">
  <dimension ref="A1:CC4"/>
  <sheetViews>
    <sheetView tabSelected="1" topLeftCell="V1" zoomScale="118" workbookViewId="0">
      <selection activeCell="AD8" sqref="AD8"/>
    </sheetView>
  </sheetViews>
  <sheetFormatPr baseColWidth="10" defaultColWidth="8.83203125" defaultRowHeight="15"/>
  <cols>
    <col min="1" max="1" width="5.1640625" bestFit="1" customWidth="1"/>
    <col min="2" max="2" width="5.33203125" bestFit="1" customWidth="1"/>
    <col min="3" max="3" width="7.5" bestFit="1" customWidth="1"/>
    <col min="4" max="4" width="11.6640625" bestFit="1" customWidth="1"/>
    <col min="5" max="5" width="9.1640625" bestFit="1" customWidth="1"/>
    <col min="6" max="7" width="13" bestFit="1" customWidth="1"/>
    <col min="8" max="8" width="13" customWidth="1"/>
    <col min="9" max="9" width="12.33203125" bestFit="1" customWidth="1"/>
    <col min="10" max="11" width="13.33203125" bestFit="1" customWidth="1"/>
    <col min="12" max="12" width="11" bestFit="1" customWidth="1"/>
    <col min="13" max="13" width="12.1640625" bestFit="1" customWidth="1"/>
    <col min="14" max="14" width="15" bestFit="1" customWidth="1"/>
    <col min="15" max="15" width="9.5" bestFit="1" customWidth="1"/>
    <col min="16" max="16" width="11.1640625" bestFit="1" customWidth="1"/>
    <col min="17" max="17" width="14.83203125" bestFit="1" customWidth="1"/>
    <col min="18" max="18" width="11.5" bestFit="1" customWidth="1"/>
    <col min="19" max="19" width="25.1640625" bestFit="1" customWidth="1"/>
    <col min="20" max="20" width="11.5" bestFit="1" customWidth="1"/>
    <col min="21" max="21" width="13.33203125" bestFit="1" customWidth="1"/>
    <col min="22" max="22" width="11.33203125" bestFit="1" customWidth="1"/>
    <col min="23" max="23" width="13.33203125" bestFit="1" customWidth="1"/>
    <col min="24" max="24" width="11.83203125" bestFit="1" customWidth="1"/>
    <col min="25" max="26" width="13.33203125" bestFit="1" customWidth="1"/>
    <col min="27" max="27" width="11.83203125" bestFit="1" customWidth="1"/>
    <col min="28" max="29" width="22.5" bestFit="1" customWidth="1"/>
    <col min="30" max="30" width="12.1640625" bestFit="1" customWidth="1"/>
    <col min="31" max="31" width="23.33203125" bestFit="1" customWidth="1"/>
    <col min="32" max="32" width="23.1640625" bestFit="1" customWidth="1"/>
    <col min="33" max="33" width="29" bestFit="1" customWidth="1"/>
    <col min="34" max="34" width="14.33203125" bestFit="1" customWidth="1"/>
    <col min="35" max="35" width="28.5" bestFit="1" customWidth="1"/>
    <col min="36" max="36" width="17.5" bestFit="1" customWidth="1"/>
    <col min="37" max="37" width="41.33203125" bestFit="1" customWidth="1"/>
    <col min="38" max="38" width="14.5" bestFit="1" customWidth="1"/>
    <col min="39" max="39" width="17.5" bestFit="1" customWidth="1"/>
    <col min="40" max="40" width="41.1640625" bestFit="1" customWidth="1"/>
    <col min="41" max="41" width="14.33203125" bestFit="1" customWidth="1"/>
    <col min="42" max="42" width="17.1640625" bestFit="1" customWidth="1"/>
    <col min="43" max="43" width="14.1640625" bestFit="1" customWidth="1"/>
    <col min="44" max="44" width="13.1640625" bestFit="1" customWidth="1"/>
    <col min="45" max="45" width="27.6640625" bestFit="1" customWidth="1"/>
    <col min="46" max="46" width="27.1640625" bestFit="1" customWidth="1"/>
    <col min="47" max="47" width="24.6640625" bestFit="1" customWidth="1"/>
    <col min="48" max="48" width="23.5" bestFit="1" customWidth="1"/>
    <col min="49" max="49" width="18.1640625" bestFit="1" customWidth="1"/>
    <col min="50" max="50" width="18.1640625" customWidth="1"/>
    <col min="51" max="51" width="23.33203125" bestFit="1" customWidth="1"/>
    <col min="52" max="52" width="18.1640625" bestFit="1" customWidth="1"/>
    <col min="53" max="53" width="18.1640625" customWidth="1"/>
    <col min="54" max="54" width="13.1640625" bestFit="1" customWidth="1"/>
    <col min="55" max="55" width="13.83203125" bestFit="1" customWidth="1"/>
    <col min="56" max="56" width="40.1640625" bestFit="1" customWidth="1"/>
    <col min="57" max="57" width="13.6640625" bestFit="1" customWidth="1"/>
    <col min="58" max="58" width="16.33203125" bestFit="1" customWidth="1"/>
    <col min="59" max="59" width="18.5" bestFit="1" customWidth="1"/>
    <col min="60" max="60" width="24.33203125" bestFit="1" customWidth="1"/>
    <col min="61" max="61" width="14.6640625" bestFit="1" customWidth="1"/>
    <col min="62" max="62" width="17.83203125" bestFit="1" customWidth="1"/>
    <col min="63" max="63" width="23.6640625" bestFit="1" customWidth="1"/>
    <col min="64" max="64" width="13.83203125" bestFit="1" customWidth="1"/>
    <col min="65" max="65" width="15" bestFit="1" customWidth="1"/>
    <col min="66" max="66" width="18.33203125" bestFit="1" customWidth="1"/>
    <col min="67" max="67" width="9.6640625" bestFit="1" customWidth="1"/>
    <col min="68" max="68" width="13.6640625" bestFit="1" customWidth="1"/>
    <col min="69" max="69" width="14.1640625" bestFit="1" customWidth="1"/>
    <col min="70" max="70" width="11.1640625" bestFit="1" customWidth="1"/>
    <col min="71" max="71" width="22.83203125" bestFit="1" customWidth="1"/>
    <col min="72" max="72" width="7.83203125" bestFit="1" customWidth="1"/>
    <col min="73" max="73" width="18.1640625" bestFit="1" customWidth="1"/>
    <col min="74" max="74" width="12.33203125" bestFit="1" customWidth="1"/>
    <col min="75" max="75" width="15.6640625" bestFit="1" customWidth="1"/>
    <col min="76" max="76" width="12.33203125" bestFit="1" customWidth="1"/>
    <col min="77" max="77" width="15.6640625" bestFit="1" customWidth="1"/>
    <col min="78" max="78" width="16.33203125" bestFit="1" customWidth="1"/>
    <col min="79" max="79" width="6.33203125" bestFit="1" customWidth="1"/>
    <col min="80" max="80" width="17.5" bestFit="1" customWidth="1"/>
    <col min="81" max="81" width="10.6640625" bestFit="1" customWidth="1"/>
    <col min="82" max="82" width="7.83203125" bestFit="1" customWidth="1"/>
  </cols>
  <sheetData>
    <row r="1" spans="1:81">
      <c r="A1" s="20">
        <f>SUBTOTAL(3,A3:A31)</f>
        <v>2</v>
      </c>
      <c r="B1" s="20">
        <f t="shared" ref="B1:BE1" si="0">SUBTOTAL(3,B3:B31)</f>
        <v>2</v>
      </c>
      <c r="C1" s="20">
        <f t="shared" si="0"/>
        <v>0</v>
      </c>
      <c r="D1" s="20">
        <f t="shared" si="0"/>
        <v>2</v>
      </c>
      <c r="E1" s="20">
        <f t="shared" si="0"/>
        <v>2</v>
      </c>
      <c r="F1" s="20">
        <f t="shared" si="0"/>
        <v>2</v>
      </c>
      <c r="G1" s="20">
        <f t="shared" si="0"/>
        <v>2</v>
      </c>
      <c r="H1" s="20">
        <f t="shared" si="0"/>
        <v>2</v>
      </c>
      <c r="I1" s="20">
        <f t="shared" si="0"/>
        <v>2</v>
      </c>
      <c r="J1" s="20">
        <f t="shared" si="0"/>
        <v>2</v>
      </c>
      <c r="K1" s="20">
        <f t="shared" si="0"/>
        <v>2</v>
      </c>
      <c r="L1" s="20">
        <f t="shared" si="0"/>
        <v>2</v>
      </c>
      <c r="M1" s="20">
        <f t="shared" si="0"/>
        <v>2</v>
      </c>
      <c r="N1" s="20">
        <f t="shared" si="0"/>
        <v>2</v>
      </c>
      <c r="O1" s="20">
        <f t="shared" si="0"/>
        <v>2</v>
      </c>
      <c r="P1" s="20"/>
      <c r="Q1" s="20">
        <f t="shared" si="0"/>
        <v>2</v>
      </c>
      <c r="R1" s="20">
        <f t="shared" si="0"/>
        <v>2</v>
      </c>
      <c r="S1" s="20">
        <f t="shared" si="0"/>
        <v>0</v>
      </c>
      <c r="T1" s="20">
        <f t="shared" si="0"/>
        <v>0</v>
      </c>
      <c r="U1" s="20">
        <f t="shared" si="0"/>
        <v>0</v>
      </c>
      <c r="V1" s="20">
        <f t="shared" si="0"/>
        <v>0</v>
      </c>
      <c r="W1" s="20">
        <f t="shared" si="0"/>
        <v>0</v>
      </c>
      <c r="X1" s="20">
        <f t="shared" si="0"/>
        <v>0</v>
      </c>
      <c r="Y1" s="20">
        <f t="shared" si="0"/>
        <v>0</v>
      </c>
      <c r="Z1" s="20">
        <f t="shared" si="0"/>
        <v>0</v>
      </c>
      <c r="AA1" s="20">
        <f t="shared" si="0"/>
        <v>0</v>
      </c>
      <c r="AB1" s="20">
        <f t="shared" si="0"/>
        <v>0</v>
      </c>
      <c r="AC1" s="20">
        <f t="shared" si="0"/>
        <v>0</v>
      </c>
      <c r="AD1" s="20">
        <f t="shared" si="0"/>
        <v>0</v>
      </c>
      <c r="AE1" s="20">
        <f t="shared" si="0"/>
        <v>2</v>
      </c>
      <c r="AF1" s="20">
        <f t="shared" si="0"/>
        <v>2</v>
      </c>
      <c r="AG1" s="20">
        <f t="shared" si="0"/>
        <v>2</v>
      </c>
      <c r="AH1" s="20">
        <f t="shared" si="0"/>
        <v>2</v>
      </c>
      <c r="AI1" s="20">
        <f t="shared" si="0"/>
        <v>2</v>
      </c>
      <c r="AJ1" s="20">
        <f t="shared" si="0"/>
        <v>0</v>
      </c>
      <c r="AK1" s="20">
        <f t="shared" si="0"/>
        <v>0</v>
      </c>
      <c r="AL1" s="20">
        <f t="shared" si="0"/>
        <v>0</v>
      </c>
      <c r="AM1" s="20">
        <f t="shared" si="0"/>
        <v>0</v>
      </c>
      <c r="AN1" s="20">
        <f t="shared" si="0"/>
        <v>0</v>
      </c>
      <c r="AO1" s="20">
        <f t="shared" si="0"/>
        <v>0</v>
      </c>
      <c r="AP1" s="20">
        <f t="shared" si="0"/>
        <v>0</v>
      </c>
      <c r="AQ1" s="20">
        <f t="shared" si="0"/>
        <v>0</v>
      </c>
      <c r="AR1" s="20">
        <f t="shared" si="0"/>
        <v>0</v>
      </c>
      <c r="AS1" s="20">
        <f t="shared" si="0"/>
        <v>2</v>
      </c>
      <c r="AT1" s="20">
        <f t="shared" si="0"/>
        <v>2</v>
      </c>
      <c r="AU1" s="20">
        <f t="shared" si="0"/>
        <v>2</v>
      </c>
      <c r="AV1" s="20">
        <f t="shared" si="0"/>
        <v>2</v>
      </c>
      <c r="AW1" s="20">
        <f t="shared" si="0"/>
        <v>1</v>
      </c>
      <c r="AX1" s="20"/>
      <c r="AY1" s="20">
        <f t="shared" si="0"/>
        <v>2</v>
      </c>
      <c r="AZ1" s="20">
        <f t="shared" si="0"/>
        <v>1</v>
      </c>
      <c r="BA1" s="20"/>
      <c r="BB1" s="20">
        <f t="shared" si="0"/>
        <v>2</v>
      </c>
      <c r="BC1" s="20">
        <f t="shared" si="0"/>
        <v>1</v>
      </c>
      <c r="BD1" s="20">
        <f t="shared" si="0"/>
        <v>2</v>
      </c>
      <c r="BE1" s="20">
        <f t="shared" si="0"/>
        <v>1</v>
      </c>
      <c r="BF1" s="20">
        <f t="shared" ref="BF1:CC1" si="1">SUBTOTAL(3,BF3:BF31)</f>
        <v>1</v>
      </c>
      <c r="BG1" s="20">
        <f t="shared" si="1"/>
        <v>1</v>
      </c>
      <c r="BH1" s="20">
        <f t="shared" si="1"/>
        <v>1</v>
      </c>
      <c r="BI1" s="20">
        <f t="shared" si="1"/>
        <v>1</v>
      </c>
      <c r="BJ1" s="20">
        <f t="shared" si="1"/>
        <v>1</v>
      </c>
      <c r="BK1" s="20">
        <f t="shared" si="1"/>
        <v>1</v>
      </c>
      <c r="BL1" s="20">
        <f t="shared" si="1"/>
        <v>1</v>
      </c>
      <c r="BM1" s="20">
        <f t="shared" si="1"/>
        <v>1</v>
      </c>
      <c r="BN1" s="20">
        <f t="shared" si="1"/>
        <v>2</v>
      </c>
      <c r="BO1" s="20">
        <f t="shared" si="1"/>
        <v>0</v>
      </c>
      <c r="BP1" s="20">
        <f t="shared" si="1"/>
        <v>0</v>
      </c>
      <c r="BQ1" s="20">
        <f t="shared" si="1"/>
        <v>0</v>
      </c>
      <c r="BR1" s="20">
        <f t="shared" si="1"/>
        <v>0</v>
      </c>
      <c r="BS1" s="20">
        <f t="shared" si="1"/>
        <v>0</v>
      </c>
      <c r="BT1" s="20">
        <f t="shared" si="1"/>
        <v>0</v>
      </c>
      <c r="BU1" s="20">
        <f t="shared" si="1"/>
        <v>0</v>
      </c>
      <c r="BV1" s="20">
        <f t="shared" si="1"/>
        <v>1</v>
      </c>
      <c r="BW1" s="20">
        <f t="shared" si="1"/>
        <v>1</v>
      </c>
      <c r="BX1" s="20">
        <f t="shared" si="1"/>
        <v>1</v>
      </c>
      <c r="BY1" s="20">
        <f t="shared" si="1"/>
        <v>1</v>
      </c>
      <c r="BZ1" s="20">
        <f t="shared" si="1"/>
        <v>1</v>
      </c>
      <c r="CA1" s="20">
        <f t="shared" si="1"/>
        <v>2</v>
      </c>
      <c r="CB1" s="20">
        <f t="shared" si="1"/>
        <v>2</v>
      </c>
      <c r="CC1" s="20">
        <f t="shared" si="1"/>
        <v>0</v>
      </c>
    </row>
    <row r="2" spans="1:81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77</v>
      </c>
      <c r="I2" s="8" t="s">
        <v>7</v>
      </c>
      <c r="J2" s="10" t="s">
        <v>8</v>
      </c>
      <c r="K2" s="10" t="s">
        <v>9</v>
      </c>
      <c r="L2" s="19" t="s">
        <v>106</v>
      </c>
      <c r="M2" s="8" t="s">
        <v>10</v>
      </c>
      <c r="N2" s="8" t="s">
        <v>11</v>
      </c>
      <c r="O2" s="8" t="s">
        <v>12</v>
      </c>
      <c r="P2" s="8" t="s">
        <v>13</v>
      </c>
      <c r="Q2" s="8" t="s">
        <v>14</v>
      </c>
      <c r="R2" s="8" t="s">
        <v>15</v>
      </c>
      <c r="S2" s="8" t="s">
        <v>16</v>
      </c>
      <c r="T2" s="8" t="s">
        <v>17</v>
      </c>
      <c r="U2" s="3" t="s">
        <v>18</v>
      </c>
      <c r="V2" s="8" t="s">
        <v>19</v>
      </c>
      <c r="W2" s="3" t="s">
        <v>20</v>
      </c>
      <c r="X2" s="3" t="s">
        <v>21</v>
      </c>
      <c r="Y2" s="3" t="s">
        <v>22</v>
      </c>
      <c r="Z2" s="3" t="s">
        <v>23</v>
      </c>
      <c r="AA2" s="3" t="s">
        <v>24</v>
      </c>
      <c r="AB2" s="3" t="s">
        <v>25</v>
      </c>
      <c r="AC2" s="3" t="s">
        <v>26</v>
      </c>
      <c r="AD2" s="3" t="s">
        <v>27</v>
      </c>
      <c r="AE2" s="3" t="s">
        <v>28</v>
      </c>
      <c r="AF2" s="3" t="s">
        <v>29</v>
      </c>
      <c r="AG2" s="2" t="s">
        <v>30</v>
      </c>
      <c r="AH2" s="8" t="s">
        <v>31</v>
      </c>
      <c r="AI2" s="2" t="s">
        <v>32</v>
      </c>
      <c r="AJ2" s="10" t="s">
        <v>33</v>
      </c>
      <c r="AK2" s="8" t="s">
        <v>34</v>
      </c>
      <c r="AL2" s="3" t="s">
        <v>35</v>
      </c>
      <c r="AM2" s="10" t="s">
        <v>36</v>
      </c>
      <c r="AN2" s="8" t="s">
        <v>37</v>
      </c>
      <c r="AO2" s="3" t="s">
        <v>38</v>
      </c>
      <c r="AP2" s="8" t="s">
        <v>39</v>
      </c>
      <c r="AQ2" s="8" t="s">
        <v>40</v>
      </c>
      <c r="AR2" s="3" t="s">
        <v>41</v>
      </c>
      <c r="AS2" s="2" t="s">
        <v>42</v>
      </c>
      <c r="AT2" s="2" t="s">
        <v>43</v>
      </c>
      <c r="AU2" s="3" t="s">
        <v>44</v>
      </c>
      <c r="AV2" s="3" t="s">
        <v>45</v>
      </c>
      <c r="AW2" s="9" t="s">
        <v>46</v>
      </c>
      <c r="AX2" s="9" t="s">
        <v>109</v>
      </c>
      <c r="AY2" s="3" t="s">
        <v>47</v>
      </c>
      <c r="AZ2" s="9" t="s">
        <v>48</v>
      </c>
      <c r="BA2" s="9" t="s">
        <v>110</v>
      </c>
      <c r="BB2" s="2" t="s">
        <v>49</v>
      </c>
      <c r="BC2" s="2" t="s">
        <v>50</v>
      </c>
      <c r="BD2" s="8" t="s">
        <v>51</v>
      </c>
      <c r="BE2" s="8" t="s">
        <v>52</v>
      </c>
      <c r="BF2" s="2" t="s">
        <v>53</v>
      </c>
      <c r="BG2" s="2" t="s">
        <v>54</v>
      </c>
      <c r="BH2" s="2" t="s">
        <v>55</v>
      </c>
      <c r="BI2" s="8" t="s">
        <v>56</v>
      </c>
      <c r="BJ2" s="2" t="s">
        <v>57</v>
      </c>
      <c r="BK2" s="2" t="s">
        <v>58</v>
      </c>
      <c r="BL2" s="8" t="s">
        <v>59</v>
      </c>
      <c r="BM2" s="7" t="s">
        <v>60</v>
      </c>
      <c r="BN2" s="8" t="s">
        <v>61</v>
      </c>
      <c r="BO2" s="8" t="s">
        <v>62</v>
      </c>
      <c r="BP2" s="8" t="s">
        <v>63</v>
      </c>
      <c r="BQ2" s="8" t="s">
        <v>64</v>
      </c>
      <c r="BR2" s="8" t="s">
        <v>65</v>
      </c>
      <c r="BS2" s="8" t="s">
        <v>66</v>
      </c>
      <c r="BT2" s="8" t="s">
        <v>67</v>
      </c>
      <c r="BU2" s="1" t="s">
        <v>68</v>
      </c>
      <c r="BV2" s="5" t="s">
        <v>69</v>
      </c>
      <c r="BW2" s="5" t="s">
        <v>70</v>
      </c>
      <c r="BX2" s="5" t="s">
        <v>71</v>
      </c>
      <c r="BY2" s="5" t="s">
        <v>72</v>
      </c>
      <c r="BZ2" s="5" t="s">
        <v>73</v>
      </c>
      <c r="CA2" s="4" t="s">
        <v>74</v>
      </c>
      <c r="CB2" s="6" t="s">
        <v>75</v>
      </c>
      <c r="CC2" s="4" t="s">
        <v>76</v>
      </c>
    </row>
    <row r="3" spans="1:81">
      <c r="A3" s="11">
        <v>1</v>
      </c>
      <c r="B3" s="12" t="s">
        <v>78</v>
      </c>
      <c r="C3" s="12"/>
      <c r="D3" s="12" t="s">
        <v>79</v>
      </c>
      <c r="E3" s="11" t="s">
        <v>80</v>
      </c>
      <c r="F3" s="12" t="s">
        <v>81</v>
      </c>
      <c r="G3" s="12" t="s">
        <v>82</v>
      </c>
      <c r="H3" s="17" t="s">
        <v>96</v>
      </c>
      <c r="I3" s="12" t="s">
        <v>83</v>
      </c>
      <c r="J3" s="21">
        <v>0.9</v>
      </c>
      <c r="K3" s="21">
        <v>0.9</v>
      </c>
      <c r="L3" s="21">
        <f t="shared" ref="L3:L4" si="2">IF(J3&gt;K3,J3,K3)</f>
        <v>0.9</v>
      </c>
      <c r="M3" s="12" t="s">
        <v>84</v>
      </c>
      <c r="N3" s="12" t="s">
        <v>85</v>
      </c>
      <c r="O3" s="12" t="s">
        <v>86</v>
      </c>
      <c r="P3" s="12" t="s">
        <v>84</v>
      </c>
      <c r="Q3" s="12" t="s">
        <v>87</v>
      </c>
      <c r="R3" s="12" t="s">
        <v>88</v>
      </c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3">
        <v>45648</v>
      </c>
      <c r="AF3" s="13">
        <v>45648</v>
      </c>
      <c r="AG3" s="14">
        <v>45648</v>
      </c>
      <c r="AH3" s="12" t="s">
        <v>107</v>
      </c>
      <c r="AI3" s="13">
        <v>45648</v>
      </c>
      <c r="AJ3" s="12"/>
      <c r="AK3" s="12"/>
      <c r="AL3" s="13"/>
      <c r="AM3" s="12"/>
      <c r="AN3" s="12"/>
      <c r="AO3" s="13"/>
      <c r="AP3" s="12"/>
      <c r="AQ3" s="12"/>
      <c r="AR3" s="13"/>
      <c r="AS3" s="14">
        <v>45650</v>
      </c>
      <c r="AT3" s="14">
        <v>45651</v>
      </c>
      <c r="AU3" s="13" t="s">
        <v>89</v>
      </c>
      <c r="AV3" s="13">
        <v>45652</v>
      </c>
      <c r="AW3" s="13" t="s">
        <v>90</v>
      </c>
      <c r="AX3" s="13"/>
      <c r="AY3" s="13">
        <v>45652</v>
      </c>
      <c r="AZ3" s="13" t="s">
        <v>90</v>
      </c>
      <c r="BA3" s="13"/>
      <c r="BB3" s="14">
        <v>45652</v>
      </c>
      <c r="BC3" s="13">
        <v>45652</v>
      </c>
      <c r="BD3" s="12" t="s">
        <v>91</v>
      </c>
      <c r="BE3" s="12" t="s">
        <v>92</v>
      </c>
      <c r="BF3" s="13">
        <v>45652</v>
      </c>
      <c r="BG3" s="13">
        <v>45659</v>
      </c>
      <c r="BH3" s="13">
        <v>45659</v>
      </c>
      <c r="BI3" s="13" t="s">
        <v>93</v>
      </c>
      <c r="BJ3" s="13">
        <v>45658</v>
      </c>
      <c r="BK3" s="13">
        <v>45659</v>
      </c>
      <c r="BL3" s="15" t="s">
        <v>93</v>
      </c>
      <c r="BM3" s="11" t="s">
        <v>92</v>
      </c>
      <c r="BN3" s="12" t="s">
        <v>94</v>
      </c>
      <c r="BO3" s="16"/>
      <c r="BP3" s="16"/>
      <c r="BQ3" s="12"/>
      <c r="BR3" s="11"/>
      <c r="BS3" s="11"/>
      <c r="BT3" s="17"/>
      <c r="BU3" s="17"/>
      <c r="BV3" s="17" t="s">
        <v>95</v>
      </c>
      <c r="BW3" s="18">
        <v>45709</v>
      </c>
      <c r="BX3" s="17" t="s">
        <v>95</v>
      </c>
      <c r="BY3" s="18">
        <v>45709</v>
      </c>
      <c r="BZ3" s="18">
        <v>45709</v>
      </c>
      <c r="CA3" s="17" t="e">
        <v>#N/A</v>
      </c>
      <c r="CB3" s="17" t="s">
        <v>111</v>
      </c>
      <c r="CC3" s="17"/>
    </row>
    <row r="4" spans="1:81">
      <c r="A4" s="11">
        <v>2</v>
      </c>
      <c r="B4" s="12" t="s">
        <v>78</v>
      </c>
      <c r="C4" s="12"/>
      <c r="D4" s="12" t="s">
        <v>79</v>
      </c>
      <c r="E4" s="11" t="s">
        <v>80</v>
      </c>
      <c r="F4" s="12" t="s">
        <v>97</v>
      </c>
      <c r="G4" s="12" t="s">
        <v>98</v>
      </c>
      <c r="H4" s="17" t="s">
        <v>96</v>
      </c>
      <c r="I4" s="12" t="s">
        <v>83</v>
      </c>
      <c r="J4" s="12">
        <v>1.2</v>
      </c>
      <c r="K4" s="12">
        <v>0.6</v>
      </c>
      <c r="L4" s="21">
        <f t="shared" si="2"/>
        <v>1.2</v>
      </c>
      <c r="M4" s="12" t="s">
        <v>99</v>
      </c>
      <c r="N4" s="12" t="s">
        <v>100</v>
      </c>
      <c r="O4" s="12" t="s">
        <v>101</v>
      </c>
      <c r="P4" s="12" t="s">
        <v>99</v>
      </c>
      <c r="Q4" s="12" t="s">
        <v>102</v>
      </c>
      <c r="R4" s="12" t="s">
        <v>103</v>
      </c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3">
        <v>45647</v>
      </c>
      <c r="AF4" s="13">
        <v>45647</v>
      </c>
      <c r="AG4" s="14">
        <v>45647</v>
      </c>
      <c r="AH4" s="12" t="s">
        <v>108</v>
      </c>
      <c r="AI4" s="13">
        <v>45647</v>
      </c>
      <c r="AJ4" s="12"/>
      <c r="AK4" s="12"/>
      <c r="AL4" s="13"/>
      <c r="AM4" s="12"/>
      <c r="AN4" s="12"/>
      <c r="AO4" s="13"/>
      <c r="AP4" s="12"/>
      <c r="AQ4" s="12"/>
      <c r="AR4" s="13"/>
      <c r="AS4" s="14">
        <v>45650</v>
      </c>
      <c r="AT4" s="14">
        <v>45651</v>
      </c>
      <c r="AU4" s="13" t="s">
        <v>89</v>
      </c>
      <c r="AV4" s="13">
        <v>45652</v>
      </c>
      <c r="AW4" s="13"/>
      <c r="AX4" s="13"/>
      <c r="AY4" s="13">
        <v>45653</v>
      </c>
      <c r="AZ4" s="13"/>
      <c r="BA4" s="13"/>
      <c r="BB4" s="14">
        <v>45653</v>
      </c>
      <c r="BC4" s="13"/>
      <c r="BD4" s="12" t="s">
        <v>104</v>
      </c>
      <c r="BE4" s="12"/>
      <c r="BF4" s="13"/>
      <c r="BG4" s="13"/>
      <c r="BH4" s="13"/>
      <c r="BI4" s="13"/>
      <c r="BJ4" s="13"/>
      <c r="BK4" s="13"/>
      <c r="BL4" s="15"/>
      <c r="BM4" s="11"/>
      <c r="BN4" s="12" t="s">
        <v>105</v>
      </c>
      <c r="BO4" s="16"/>
      <c r="BP4" s="16"/>
      <c r="BQ4" s="12"/>
      <c r="BR4" s="11"/>
      <c r="BS4" s="11"/>
      <c r="BT4" s="17"/>
      <c r="BU4" s="17"/>
      <c r="BV4" s="17"/>
      <c r="BW4" s="17"/>
      <c r="BX4" s="17"/>
      <c r="BY4" s="18"/>
      <c r="BZ4" s="17"/>
      <c r="CA4" s="17" t="e">
        <v>#N/A</v>
      </c>
      <c r="CB4" s="17" t="s">
        <v>112</v>
      </c>
      <c r="CC4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Abhimanyu Kumar</dc:creator>
  <cp:lastModifiedBy>Pradeep Jiya</cp:lastModifiedBy>
  <dcterms:created xsi:type="dcterms:W3CDTF">2025-11-26T13:49:53Z</dcterms:created>
  <dcterms:modified xsi:type="dcterms:W3CDTF">2025-11-27T07:03:18Z</dcterms:modified>
</cp:coreProperties>
</file>