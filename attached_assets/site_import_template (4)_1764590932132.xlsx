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i5\Downloads\"/>
    </mc:Choice>
  </mc:AlternateContent>
  <xr:revisionPtr revIDLastSave="0" documentId="13_ncr:1_{15900623-8F31-4C9A-9294-49B4567ED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</calcChain>
</file>

<file path=xl/sharedStrings.xml><?xml version="1.0" encoding="utf-8"?>
<sst xmlns="http://schemas.openxmlformats.org/spreadsheetml/2006/main" count="150" uniqueCount="119">
  <si>
    <t>S.No.</t>
  </si>
  <si>
    <t>Circle</t>
  </si>
  <si>
    <t>PLAN ID</t>
  </si>
  <si>
    <t>Nominal Aop</t>
  </si>
  <si>
    <t>HOP TYPE</t>
  </si>
  <si>
    <t>HOP A-B</t>
  </si>
  <si>
    <t>HOP B-A</t>
  </si>
  <si>
    <t>District</t>
  </si>
  <si>
    <t>PROJECT</t>
  </si>
  <si>
    <t>SITE A ANT DIA</t>
  </si>
  <si>
    <t>SITE B ANT DIA</t>
  </si>
  <si>
    <t>Max Ant Size</t>
  </si>
  <si>
    <t>SITE A NAME</t>
  </si>
  <si>
    <t>TOCO VENDOR A</t>
  </si>
  <si>
    <t>TOCO ID A</t>
  </si>
  <si>
    <t>SITE B NAME</t>
  </si>
  <si>
    <t>TOCO VENDOR B</t>
  </si>
  <si>
    <t>TOCO ID B</t>
  </si>
  <si>
    <t>MEDIA AVAILABILITY STATUS</t>
  </si>
  <si>
    <t>SR NO SITE A</t>
  </si>
  <si>
    <t>SR DATE SITE A</t>
  </si>
  <si>
    <t>SR NO SITE B</t>
  </si>
  <si>
    <t>SR DATE SITE B</t>
  </si>
  <si>
    <t>HOP SR DATE</t>
  </si>
  <si>
    <t>SP DATE SITE A</t>
  </si>
  <si>
    <t>SP DATE SITE B</t>
  </si>
  <si>
    <t>HOP SP DATE</t>
  </si>
  <si>
    <t>SO RELEASED DATE SITE A</t>
  </si>
  <si>
    <t>SO RELEASED DATE SITE B</t>
  </si>
  <si>
    <t>HOP SO DATE</t>
  </si>
  <si>
    <t>RFAI OFFERED DATE SITE A</t>
  </si>
  <si>
    <t>RFAI OFFERED DATE SITE B</t>
  </si>
  <si>
    <t>ACTUAL HOP RFAI OFFERED DATE</t>
  </si>
  <si>
    <t>PARTNER NAME</t>
  </si>
  <si>
    <t>RFAI SURVEY COMPLETION DATE</t>
  </si>
  <si>
    <t>MO NUMBER SITE A</t>
  </si>
  <si>
    <t>MATERIAL TYPE SITE A(SRN, FRESH, FRESH+SRN)</t>
  </si>
  <si>
    <t>MO DATE SITE A</t>
  </si>
  <si>
    <t>MO NUMBER SITE B</t>
  </si>
  <si>
    <t>MATERIAL TYPE SITE B(SRN, FRESH, FRESH+SRN)</t>
  </si>
  <si>
    <t>MO DATE SITE B</t>
  </si>
  <si>
    <t>SRN/RMO NUMBER</t>
  </si>
  <si>
    <t>SRN/RMO DATE</t>
  </si>
  <si>
    <t>HOP MO DATE</t>
  </si>
  <si>
    <t>HOP MATERIAL DISPATCH DATE</t>
  </si>
  <si>
    <t>HOP MATERIAL DELIVERY DATE</t>
  </si>
  <si>
    <t>MATERIAL DELIVERY STATUS</t>
  </si>
  <si>
    <t>SITE A INSTALLATION DATE</t>
  </si>
  <si>
    <t>PTW Number(Site A)</t>
  </si>
  <si>
    <t>PTW Status A</t>
  </si>
  <si>
    <t>SITE B INSTALLATION DATE</t>
  </si>
  <si>
    <t>PTW Number(Site B)</t>
  </si>
  <si>
    <t>PTW Status B</t>
  </si>
  <si>
    <t>HOP I&amp;C DATE</t>
  </si>
  <si>
    <t>Alignment Date</t>
  </si>
  <si>
    <t>HOP Installation Remarks</t>
  </si>
  <si>
    <t>VISIBLE IN NMS</t>
  </si>
  <si>
    <t>NMS VISIBLE DATE</t>
  </si>
  <si>
    <t>SOFT AT OFFER DATE</t>
  </si>
  <si>
    <t>SOFT AT ACCEPTANCE DATE</t>
  </si>
  <si>
    <t>SOFT-AT STATUS</t>
  </si>
  <si>
    <t>PHY-AT OFFER DATE</t>
  </si>
  <si>
    <t>PHY-AT ACCEPTANCE DATE</t>
  </si>
  <si>
    <t>PHY-AT STATUS</t>
  </si>
  <si>
    <t>BOTH AT STATUS</t>
  </si>
  <si>
    <t>PRI ISSUE CATEGORY</t>
  </si>
  <si>
    <t>PRI SITE ID</t>
  </si>
  <si>
    <t>PRI OPEN DATE</t>
  </si>
  <si>
    <t>PRI CLOSE DATE</t>
  </si>
  <si>
    <t>PRI HISTORY</t>
  </si>
  <si>
    <t>RFI Survey Allocation Date</t>
  </si>
  <si>
    <t>Descope</t>
  </si>
  <si>
    <t>Reason of Extra Visit</t>
  </si>
  <si>
    <t>WCC Received 80%</t>
  </si>
  <si>
    <t>WCC Received Date 80%</t>
  </si>
  <si>
    <t>WCC Received 20%</t>
  </si>
  <si>
    <t>WCC Received Date 20%</t>
  </si>
  <si>
    <t>WCC Received Date 100%</t>
  </si>
  <si>
    <t>Survey</t>
  </si>
  <si>
    <t>Final Partner Survey</t>
  </si>
  <si>
    <t>Survey Date</t>
  </si>
  <si>
    <t>UPE</t>
  </si>
  <si>
    <t>AOP 24-25</t>
  </si>
  <si>
    <t>E-BAND</t>
  </si>
  <si>
    <t>ALB368-ACNT04</t>
  </si>
  <si>
    <t>ACNT04-ALB368</t>
  </si>
  <si>
    <t>Prayagraj</t>
  </si>
  <si>
    <t>Ceragon-Bharti</t>
  </si>
  <si>
    <t>Patrakarcolony</t>
  </si>
  <si>
    <t>Indus</t>
  </si>
  <si>
    <t>IN-1360937</t>
  </si>
  <si>
    <t>TVI</t>
  </si>
  <si>
    <t>ATUPALH1165</t>
  </si>
  <si>
    <t>Jiya</t>
  </si>
  <si>
    <t>Received</t>
  </si>
  <si>
    <t>Site done</t>
  </si>
  <si>
    <t>Yes</t>
  </si>
  <si>
    <t>Done</t>
  </si>
  <si>
    <t>JIYA</t>
  </si>
  <si>
    <t>1234756712457324jghjrgrhjew8643783624hjgwhewj</t>
  </si>
  <si>
    <t>Approved In Inside</t>
  </si>
  <si>
    <t>Raised</t>
  </si>
  <si>
    <t>-</t>
  </si>
  <si>
    <t>456789098765ff456hnn</t>
  </si>
  <si>
    <t>ALB45-ALBI06</t>
  </si>
  <si>
    <t>ALBI06-ALB45</t>
  </si>
  <si>
    <t>Darbhanga</t>
  </si>
  <si>
    <t>Infratel</t>
  </si>
  <si>
    <t>UERT11223</t>
  </si>
  <si>
    <t>Space Telecom</t>
  </si>
  <si>
    <t>STIPL-UPE-657</t>
  </si>
  <si>
    <t>Lagom</t>
  </si>
  <si>
    <t>LOS Issue/Mail Approval taken for Installation only</t>
  </si>
  <si>
    <t>LOS Issue</t>
  </si>
  <si>
    <t>LAGOM</t>
  </si>
  <si>
    <t>ASDR23454567</t>
  </si>
  <si>
    <t>ALB47-ALBI08</t>
  </si>
  <si>
    <t>ALB48-ALBI07</t>
  </si>
  <si>
    <t>QAII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</si>
</sst>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4" x14ac:knownFonts="1">
    <font>
      <sz val="12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"/>
  <sheetViews>
    <sheetView tabSelected="1" workbookViewId="0">
      <selection activeCell="C7" sqref="C7"/>
    </sheetView>
  </sheetViews>
  <sheetFormatPr defaultRowHeight="14.4" x14ac:dyDescent="0.3"/>
  <sheetData>
    <row r="1" spans="1:8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ht="15.6" x14ac:dyDescent="0.3">
      <c r="A2" s="1">
        <v>1</v>
      </c>
      <c r="B2" s="2" t="s">
        <v>81</v>
      </c>
      <c r="C2" s="2" t="s">
        <v>99</v>
      </c>
      <c r="D2" s="2" t="s">
        <v>82</v>
      </c>
      <c r="E2" s="1" t="s">
        <v>83</v>
      </c>
      <c r="F2" s="2" t="s">
        <v>84</v>
      </c>
      <c r="G2" s="2" t="s">
        <v>85</v>
      </c>
      <c r="H2" s="3" t="s">
        <v>86</v>
      </c>
      <c r="I2" s="2" t="s">
        <v>87</v>
      </c>
      <c r="J2" s="4">
        <v>0.9</v>
      </c>
      <c r="K2" s="4">
        <v>0.9</v>
      </c>
      <c r="L2" s="4">
        <f t="shared" ref="L2:L4" si="0">IF(J2&gt;K2,J2,K2)</f>
        <v>0.9</v>
      </c>
      <c r="M2" s="2" t="s">
        <v>88</v>
      </c>
      <c r="N2" s="2" t="s">
        <v>89</v>
      </c>
      <c r="O2" s="2" t="s">
        <v>90</v>
      </c>
      <c r="P2" s="2" t="s">
        <v>88</v>
      </c>
      <c r="Q2" s="2" t="s">
        <v>91</v>
      </c>
      <c r="R2" s="2" t="s">
        <v>92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5">
        <v>45648</v>
      </c>
      <c r="AF2" s="5">
        <v>45648</v>
      </c>
      <c r="AG2" s="6">
        <v>45648</v>
      </c>
      <c r="AH2" s="2" t="s">
        <v>93</v>
      </c>
      <c r="AI2" s="5">
        <v>45648</v>
      </c>
      <c r="AJ2" s="2"/>
      <c r="AK2" s="2"/>
      <c r="AL2" s="5"/>
      <c r="AM2" s="2"/>
      <c r="AN2" s="2"/>
      <c r="AO2" s="5"/>
      <c r="AP2" s="2"/>
      <c r="AQ2" s="2"/>
      <c r="AR2" s="5"/>
      <c r="AS2" s="6">
        <v>45650</v>
      </c>
      <c r="AT2" s="6">
        <v>45651</v>
      </c>
      <c r="AU2" s="5" t="s">
        <v>94</v>
      </c>
      <c r="AV2" s="5">
        <v>45652</v>
      </c>
      <c r="AW2" s="5" t="s">
        <v>100</v>
      </c>
      <c r="AX2" s="5"/>
      <c r="AY2" s="5">
        <v>45652</v>
      </c>
      <c r="AZ2" s="5" t="s">
        <v>100</v>
      </c>
      <c r="BA2" s="5"/>
      <c r="BB2" s="6">
        <v>45652</v>
      </c>
      <c r="BC2" s="5">
        <v>45652</v>
      </c>
      <c r="BD2" s="2" t="s">
        <v>95</v>
      </c>
      <c r="BE2" s="2" t="s">
        <v>96</v>
      </c>
      <c r="BF2" s="5">
        <v>45652</v>
      </c>
      <c r="BG2" s="5">
        <v>45659</v>
      </c>
      <c r="BH2" s="5">
        <v>45659</v>
      </c>
      <c r="BI2" s="5" t="s">
        <v>101</v>
      </c>
      <c r="BJ2" s="5">
        <v>45658</v>
      </c>
      <c r="BK2" s="5">
        <v>45659</v>
      </c>
      <c r="BL2" s="5" t="s">
        <v>101</v>
      </c>
      <c r="BM2" s="1" t="s">
        <v>96</v>
      </c>
      <c r="BN2" s="2" t="s">
        <v>102</v>
      </c>
      <c r="BO2" s="7"/>
      <c r="BP2" s="7"/>
      <c r="BQ2" s="2"/>
      <c r="BR2" s="1"/>
      <c r="BS2" s="1"/>
      <c r="BT2" s="3"/>
      <c r="BU2" s="3"/>
      <c r="BV2" s="3" t="s">
        <v>97</v>
      </c>
      <c r="BW2" s="8">
        <v>45709</v>
      </c>
      <c r="BX2" s="3" t="s">
        <v>97</v>
      </c>
      <c r="BY2" s="8">
        <v>45709</v>
      </c>
      <c r="BZ2" s="8">
        <v>45709</v>
      </c>
      <c r="CA2" s="3" t="e">
        <v>#N/A</v>
      </c>
      <c r="CB2" s="3" t="s">
        <v>98</v>
      </c>
      <c r="CC2" s="3"/>
    </row>
    <row r="3" spans="1:81" ht="15.6" x14ac:dyDescent="0.3">
      <c r="A3" s="1">
        <v>2</v>
      </c>
      <c r="B3" s="2" t="s">
        <v>81</v>
      </c>
      <c r="C3" s="2" t="s">
        <v>103</v>
      </c>
      <c r="D3" s="2" t="s">
        <v>82</v>
      </c>
      <c r="E3" s="1" t="s">
        <v>83</v>
      </c>
      <c r="F3" s="2" t="s">
        <v>104</v>
      </c>
      <c r="G3" s="2" t="s">
        <v>105</v>
      </c>
      <c r="H3" s="3" t="s">
        <v>86</v>
      </c>
      <c r="I3" s="2" t="s">
        <v>87</v>
      </c>
      <c r="J3" s="2">
        <v>1.2</v>
      </c>
      <c r="K3" s="2">
        <v>0.6</v>
      </c>
      <c r="L3" s="4">
        <f t="shared" si="0"/>
        <v>1.2</v>
      </c>
      <c r="M3" s="2" t="s">
        <v>106</v>
      </c>
      <c r="N3" s="2" t="s">
        <v>107</v>
      </c>
      <c r="O3" s="2" t="s">
        <v>108</v>
      </c>
      <c r="P3" s="2" t="s">
        <v>106</v>
      </c>
      <c r="Q3" s="2" t="s">
        <v>109</v>
      </c>
      <c r="R3" s="2" t="s">
        <v>110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5">
        <v>45647</v>
      </c>
      <c r="AF3" s="5">
        <v>45647</v>
      </c>
      <c r="AG3" s="6">
        <v>45647</v>
      </c>
      <c r="AH3" s="2" t="s">
        <v>111</v>
      </c>
      <c r="AI3" s="5">
        <v>45647</v>
      </c>
      <c r="AJ3" s="2"/>
      <c r="AK3" s="2"/>
      <c r="AL3" s="5"/>
      <c r="AM3" s="2"/>
      <c r="AN3" s="2"/>
      <c r="AO3" s="5"/>
      <c r="AP3" s="2"/>
      <c r="AQ3" s="2"/>
      <c r="AR3" s="5"/>
      <c r="AS3" s="6">
        <v>45650</v>
      </c>
      <c r="AT3" s="6">
        <v>45651</v>
      </c>
      <c r="AU3" s="5" t="s">
        <v>94</v>
      </c>
      <c r="AV3" s="5">
        <v>45652</v>
      </c>
      <c r="AW3" s="5"/>
      <c r="AX3" s="5"/>
      <c r="AY3" s="5">
        <v>45653</v>
      </c>
      <c r="AZ3" s="5"/>
      <c r="BA3" s="5"/>
      <c r="BB3" s="6">
        <v>45653</v>
      </c>
      <c r="BC3" s="5"/>
      <c r="BD3" s="2" t="s">
        <v>112</v>
      </c>
      <c r="BE3" s="2"/>
      <c r="BF3" s="5"/>
      <c r="BG3" s="5"/>
      <c r="BH3" s="5"/>
      <c r="BI3" s="5" t="s">
        <v>101</v>
      </c>
      <c r="BJ3" s="5"/>
      <c r="BK3" s="5"/>
      <c r="BL3" s="5" t="s">
        <v>101</v>
      </c>
      <c r="BM3" s="1"/>
      <c r="BN3" s="2" t="s">
        <v>113</v>
      </c>
      <c r="BO3" s="7"/>
      <c r="BP3" s="7"/>
      <c r="BQ3" s="2"/>
      <c r="BR3" s="1"/>
      <c r="BS3" s="1"/>
      <c r="BT3" s="3"/>
      <c r="BU3" s="3"/>
      <c r="BV3" s="3"/>
      <c r="BW3" s="3"/>
      <c r="BX3" s="3"/>
      <c r="BY3" s="8"/>
      <c r="BZ3" s="3"/>
      <c r="CA3" s="3" t="e">
        <v>#N/A</v>
      </c>
      <c r="CB3" s="3" t="s">
        <v>114</v>
      </c>
      <c r="CC3" s="3"/>
    </row>
    <row r="4" spans="1:81" ht="15.6" x14ac:dyDescent="0.3">
      <c r="A4" s="1">
        <v>3</v>
      </c>
      <c r="B4" s="2" t="s">
        <v>81</v>
      </c>
      <c r="C4" s="2" t="s">
        <v>115</v>
      </c>
      <c r="D4" s="2" t="s">
        <v>82</v>
      </c>
      <c r="E4" s="1" t="s">
        <v>83</v>
      </c>
      <c r="F4" s="2" t="s">
        <v>116</v>
      </c>
      <c r="G4" s="2" t="s">
        <v>117</v>
      </c>
      <c r="H4" s="3" t="s">
        <v>86</v>
      </c>
      <c r="I4" s="2" t="s">
        <v>87</v>
      </c>
      <c r="J4" s="2">
        <v>1.2</v>
      </c>
      <c r="K4" s="2">
        <v>0.6</v>
      </c>
      <c r="L4" s="4">
        <f t="shared" si="0"/>
        <v>1.2</v>
      </c>
      <c r="M4" s="2" t="s">
        <v>106</v>
      </c>
      <c r="N4" s="2" t="s">
        <v>107</v>
      </c>
      <c r="O4" s="2" t="s">
        <v>108</v>
      </c>
      <c r="P4" s="2" t="s">
        <v>106</v>
      </c>
      <c r="Q4" s="2" t="s">
        <v>109</v>
      </c>
      <c r="R4" s="2" t="s">
        <v>110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5">
        <v>45647</v>
      </c>
      <c r="AF4" s="5">
        <v>45647</v>
      </c>
      <c r="AG4" s="6">
        <v>45647</v>
      </c>
      <c r="AH4" s="3" t="s">
        <v>118</v>
      </c>
      <c r="AI4" s="5">
        <v>45647</v>
      </c>
      <c r="AJ4" s="2"/>
      <c r="AK4" s="2"/>
      <c r="AL4" s="5"/>
      <c r="AM4" s="2"/>
      <c r="AN4" s="2"/>
      <c r="AO4" s="5"/>
      <c r="AP4" s="2"/>
      <c r="AQ4" s="2"/>
      <c r="AR4" s="5"/>
      <c r="AS4" s="6">
        <v>45650</v>
      </c>
      <c r="AT4" s="6">
        <v>45651</v>
      </c>
      <c r="AU4" s="5" t="s">
        <v>94</v>
      </c>
      <c r="AV4" s="5">
        <v>45652</v>
      </c>
      <c r="AW4" s="5"/>
      <c r="AX4" s="5"/>
      <c r="AY4" s="5">
        <v>45653</v>
      </c>
      <c r="AZ4" s="5"/>
      <c r="BA4" s="5"/>
      <c r="BB4" s="6">
        <v>45653</v>
      </c>
      <c r="BC4" s="5"/>
      <c r="BD4" s="2" t="s">
        <v>112</v>
      </c>
      <c r="BE4" s="2"/>
      <c r="BF4" s="5"/>
      <c r="BG4" s="5"/>
      <c r="BH4" s="5"/>
      <c r="BI4" s="5" t="s">
        <v>101</v>
      </c>
      <c r="BJ4" s="5"/>
      <c r="BK4" s="5"/>
      <c r="BL4" s="5" t="s">
        <v>101</v>
      </c>
      <c r="BM4" s="1"/>
      <c r="BN4" s="2" t="s">
        <v>113</v>
      </c>
      <c r="BO4" s="7"/>
      <c r="BP4" s="7"/>
      <c r="BQ4" s="2"/>
      <c r="BR4" s="1"/>
      <c r="BS4" s="1"/>
      <c r="BT4" s="3"/>
      <c r="BU4" s="3"/>
      <c r="BV4" s="3"/>
      <c r="BW4" s="3"/>
      <c r="BX4" s="3"/>
      <c r="BY4" s="8"/>
      <c r="BZ4" s="3"/>
      <c r="CA4" s="3" t="e">
        <v>#N/A</v>
      </c>
      <c r="CB4" s="3" t="s">
        <v>118</v>
      </c>
      <c r="CC4" s="3"/>
    </row>
  </sheetData>
  <pageMargins left="0.7" right="0.7" top="0.75" bottom="0.75" header="0.3" footer="0.3"/>
  <ignoredErrors>
    <ignoredError sqref="A1:C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modified xsi:type="dcterms:W3CDTF">2025-12-01T12:04:56Z</dcterms:modified>
</cp:coreProperties>
</file>